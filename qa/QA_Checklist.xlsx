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Summary" sheetId="2" state="visible" r:id="rId4"/>
    <sheet name="Reviewer" sheetId="3" state="visible" r:id="rId5"/>
    <sheet name="Checklist" sheetId="4" state="visible" r:id="rId6"/>
    <sheet name="Run log" sheetId="5" state="visible" r:id="rId7"/>
    <sheet name="Issues log" sheetId="6" state="visible" r:id="rId8"/>
  </sheets>
  <definedNames>
    <definedName function="false" hidden="true" localSheetId="3" name="_xlnm._FilterDatabase" vbProcedure="false">Checklist!$A$4:$L$102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4" authorId="0">
      <text>
        <r>
          <rPr>
            <sz val="10"/>
            <rFont val="Arial"/>
            <family val="2"/>
          </rPr>
          <t xml:space="preserve">Required for every row marked Fail: the matching ID from the Issues log (e.g., I-01).</t>
        </r>
      </text>
    </comment>
  </commentList>
</comments>
</file>

<file path=xl/sharedStrings.xml><?xml version="1.0" encoding="utf-8"?>
<sst xmlns="http://schemas.openxmlformats.org/spreadsheetml/2006/main" count="803" uniqueCount="600">
  <si>
    <t xml:space="preserve">QA Checklist: Comparative Accuracy of Improper Payment Estimation Methods</t>
  </si>
  <si>
    <t xml:space="preserve">Human reviewer's checklist. Read qa/README.md first.</t>
  </si>
  <si>
    <t xml:space="preserve">Purpose</t>
  </si>
  <si>
    <t xml:space="preserve">This workbook records everything a human reviewer checks: an independent re-run with date-stamped logs, a code review of every key assumption, and a check that the results are represented correctly. It is the evidence behind the signed sign-off form.</t>
  </si>
  <si>
    <t xml:space="preserve">Order of work</t>
  </si>
  <si>
    <t xml:space="preserve">1. Reviewer sheet  2. Re-run (Checklist section B) and Run log sheet  3. Code review (section C)  4. Results (section D)  5. Tests, data security, documentation (E-G)  6. Issues log  7. Close-out (section H) and sign-off form.</t>
  </si>
  <si>
    <t xml:space="preserve">Cells you fill in</t>
  </si>
  <si>
    <t xml:space="preserve">Only the yellow cells. On the Checklist: Status, Date checked, Initials, Evidence, Issue ID and Notes. Grey and blue cells are fixed text or formulas; do not edit them.</t>
  </si>
  <si>
    <t xml:space="preserve">Status values</t>
  </si>
  <si>
    <t xml:space="preserve">Not started: not yet checked.  Pass: checked and matches the expected result.  Fail: checked and does not match; log it on the Issues log and enter its ID.  N/A: does not apply (explain why in Notes).</t>
  </si>
  <si>
    <t xml:space="preserve">Dates</t>
  </si>
  <si>
    <t xml:space="preserve">Enter dates as YYYY-MM-DD (for example 2026-10-21). Date-times on the Run log as YYYY-MM-DD HH:MM.</t>
  </si>
  <si>
    <t xml:space="preserve">Evidence</t>
  </si>
  <si>
    <t xml:space="preserve">Where the proof is: a file path in your re-run folder (for example logs/run_2026-10-21_093000/stage7_01_pytest.log), a screenshot file name in review/, or a short description.</t>
  </si>
  <si>
    <t xml:space="preserve">Commands</t>
  </si>
  <si>
    <t xml:space="preserve">Commands are written for macOS and Linux (.venv/bin/python). On Windows, replace .venv/bin/python with .venv\Scripts\python and forward slashes in file paths with backslashes.</t>
  </si>
  <si>
    <t xml:space="preserve">Wildcards</t>
  </si>
  <si>
    <t xml:space="preserve">In 'Where to look', * means 'any folder or file name here'; for example */errors/sql/*.sql means the errors/sql folder of every program.</t>
  </si>
  <si>
    <t xml:space="preserve">Example of a completed row</t>
  </si>
  <si>
    <t xml:space="preserve">Status: Pass | Date checked: 2026-10-21 | Initials: JD | Evidence: logs/run_2026-10-21_093000/stage7_01_pytest.log | Issue ID: (blank) | Notes: 38 passed in 89 s.</t>
  </si>
  <si>
    <t xml:space="preserve">When you finish</t>
  </si>
  <si>
    <t xml:space="preserve">The Summary sheet shows progress and whether the review is ready to sign. Save this file as QA_Checklist_&lt;date&gt;_&lt;initials&gt;.xlsx in qa/reruns/&lt;date&gt;_&lt;initials&gt;/review/.</t>
  </si>
  <si>
    <t xml:space="preserve">Legend</t>
  </si>
  <si>
    <t xml:space="preserve">Yellow</t>
  </si>
  <si>
    <t xml:space="preserve">You fill this in</t>
  </si>
  <si>
    <t xml:space="preserve">Light blue</t>
  </si>
  <si>
    <t xml:space="preserve">Section heading or fixed text</t>
  </si>
  <si>
    <t xml:space="preserve">Green / red status</t>
  </si>
  <si>
    <t xml:space="preserve">Pass turns green; Fail turns red automatically</t>
  </si>
  <si>
    <t xml:space="preserve">Summary</t>
  </si>
  <si>
    <t xml:space="preserve">Calculated from the Checklist and Issues log. Nothing to fill in here.</t>
  </si>
  <si>
    <t xml:space="preserve">Section</t>
  </si>
  <si>
    <t xml:space="preserve">Tasks</t>
  </si>
  <si>
    <t xml:space="preserve">Pass</t>
  </si>
  <si>
    <t xml:space="preserve">Fail</t>
  </si>
  <si>
    <t xml:space="preserve">N/A</t>
  </si>
  <si>
    <t xml:space="preserve">Not started</t>
  </si>
  <si>
    <t xml:space="preserve">Complete (%)</t>
  </si>
  <si>
    <t xml:space="preserve">A. Setup and independence</t>
  </si>
  <si>
    <t xml:space="preserve">B. Re-run with date-stamped logs</t>
  </si>
  <si>
    <t xml:space="preserve">C. Code review: key assumptions</t>
  </si>
  <si>
    <t xml:space="preserve">D. Results: represented correctly</t>
  </si>
  <si>
    <t xml:space="preserve">E. Tests and independent checks</t>
  </si>
  <si>
    <t xml:space="preserve">F. Data security and disclosure</t>
  </si>
  <si>
    <t xml:space="preserve">G. Documentation and reproducibility</t>
  </si>
  <si>
    <t xml:space="preserve">H. Close-out and sign-off</t>
  </si>
  <si>
    <t xml:space="preserve">All sections</t>
  </si>
  <si>
    <t xml:space="preserve">Issues (rows whose ID contains EXAMPLE are not counted)</t>
  </si>
  <si>
    <t xml:space="preserve">Severity</t>
  </si>
  <si>
    <t xml:space="preserve">Total</t>
  </si>
  <si>
    <t xml:space="preserve">Open</t>
  </si>
  <si>
    <t xml:space="preserve">Resolved</t>
  </si>
  <si>
    <t xml:space="preserve">Accepted</t>
  </si>
  <si>
    <t xml:space="preserve">Critical</t>
  </si>
  <si>
    <t xml:space="preserve">Major</t>
  </si>
  <si>
    <t xml:space="preserve">Minor</t>
  </si>
  <si>
    <t xml:space="preserve">Note</t>
  </si>
  <si>
    <t xml:space="preserve">Fail rows without an Issue ID</t>
  </si>
  <si>
    <t xml:space="preserve">READY TO SIGN?</t>
  </si>
  <si>
    <t xml:space="preserve">A Fail row does not by itself block sign-off if its issue is Resolved or Accepted.</t>
  </si>
  <si>
    <t xml:space="preserve">Reviewer and environment</t>
  </si>
  <si>
    <t xml:space="preserve">Fill in every yellow cell. Copy computer and software details from environment.txt in your run folder.</t>
  </si>
  <si>
    <t xml:space="preserve">Item</t>
  </si>
  <si>
    <t xml:space="preserve">Your entry</t>
  </si>
  <si>
    <t xml:space="preserve">Guidance</t>
  </si>
  <si>
    <t xml:space="preserve">REVIEWER</t>
  </si>
  <si>
    <t xml:space="preserve">Full name</t>
  </si>
  <si>
    <t xml:space="preserve">Initials (used in the re-run folder name)</t>
  </si>
  <si>
    <t xml:space="preserve">Title / role</t>
  </si>
  <si>
    <t xml:space="preserve">Organization</t>
  </si>
  <si>
    <t xml:space="preserve">Email</t>
  </si>
  <si>
    <t xml:space="preserve">Relationship to the study or its authors</t>
  </si>
  <si>
    <t xml:space="preserve">For example: none; colleague; co-author. Disclose any role in writing the code or text.</t>
  </si>
  <si>
    <t xml:space="preserve">Independent of the study's development? (Yes/No)</t>
  </si>
  <si>
    <t xml:space="preserve">REVIEW</t>
  </si>
  <si>
    <t xml:space="preserve">Review start date (YYYY-MM-DD)</t>
  </si>
  <si>
    <t xml:space="preserve">Review end date (YYYY-MM-DD)</t>
  </si>
  <si>
    <t xml:space="preserve">Project version reviewed (Git commit ID, or ZIP download date)</t>
  </si>
  <si>
    <t xml:space="preserve">From environment.txt, 'Project version'</t>
  </si>
  <si>
    <t xml:space="preserve">How the project was obtained (Git clone / ZIP download)</t>
  </si>
  <si>
    <t xml:space="preserve">Re-run folder (qa/reruns/...)</t>
  </si>
  <si>
    <t xml:space="preserve">For example qa/reruns/2026-10-21_JD</t>
  </si>
  <si>
    <t xml:space="preserve">COMPUTER AND SOFTWARE (from environment.txt)</t>
  </si>
  <si>
    <t xml:space="preserve">Computer (make/model, or 'personal laptop', 'work desktop')</t>
  </si>
  <si>
    <t xml:space="preserve">Operating system and version</t>
  </si>
  <si>
    <t xml:space="preserve">Processor cores</t>
  </si>
  <si>
    <t xml:space="preserve">Memory (GB)</t>
  </si>
  <si>
    <t xml:space="preserve">Python version</t>
  </si>
  <si>
    <t xml:space="preserve">DuckDB version (must be 1.5.6)</t>
  </si>
  <si>
    <t xml:space="preserve">numpy / numba / pyarrow / scipy versions</t>
  </si>
  <si>
    <t xml:space="preserve">TOOLS USED FOR THE REVIEW</t>
  </si>
  <si>
    <t xml:space="preserve">Spreadsheet software (e.g., Microsoft Excel 365, version)</t>
  </si>
  <si>
    <t xml:space="preserve">Text editor or code viewer (e.g., VS Code, GitHub website)</t>
  </si>
  <si>
    <t xml:space="preserve">Terminal (e.g., PowerShell, macOS Terminal)</t>
  </si>
  <si>
    <t xml:space="preserve">PDF / Word viewer</t>
  </si>
  <si>
    <t xml:space="preserve">Other tools (e.g., Git, R, calculator)</t>
  </si>
  <si>
    <t xml:space="preserve">Checklist</t>
  </si>
  <si>
    <t xml:space="preserve">One row per task. Fill in the yellow columns. Fail rows need an Issue ID from the Issues log.</t>
  </si>
  <si>
    <t xml:space="preserve">ID</t>
  </si>
  <si>
    <t xml:space="preserve">Task</t>
  </si>
  <si>
    <t xml:space="preserve">How to check</t>
  </si>
  <si>
    <t xml:space="preserve">Where to look</t>
  </si>
  <si>
    <t xml:space="preserve">Expected result</t>
  </si>
  <si>
    <t xml:space="preserve">Status</t>
  </si>
  <si>
    <t xml:space="preserve">Date checked</t>
  </si>
  <si>
    <t xml:space="preserve">Initials</t>
  </si>
  <si>
    <t xml:space="preserve">Evidence (file, screenshot, or description)</t>
  </si>
  <si>
    <t xml:space="preserve">Issue ID</t>
  </si>
  <si>
    <t xml:space="preserve">Notes</t>
  </si>
  <si>
    <t xml:space="preserve">A1</t>
  </si>
  <si>
    <t xml:space="preserve">Setup and independence</t>
  </si>
  <si>
    <t xml:space="preserve">Record who you are and your relationship to the study</t>
  </si>
  <si>
    <t xml:space="preserve">Fill in the Reviewer sheet. State whether you contributed to the study's code, data, or writing.</t>
  </si>
  <si>
    <t xml:space="preserve">Reviewer sheet</t>
  </si>
  <si>
    <t xml:space="preserve">Reviewer sheet complete; any relationship to the authors disclosed</t>
  </si>
  <si>
    <t xml:space="preserve">A2</t>
  </si>
  <si>
    <t xml:space="preserve">Use a fresh copy of the project</t>
  </si>
  <si>
    <t xml:space="preserve">Download the project from GitHub (ZIP or git clone) into a new, empty folder. Do not use the author's computer or an existing copy.</t>
  </si>
  <si>
    <t xml:space="preserve">start-here/README.md, step 3</t>
  </si>
  <si>
    <t xml:space="preserve">A new project folder on your own computer</t>
  </si>
  <si>
    <t xml:space="preserve">A3</t>
  </si>
  <si>
    <t xml:space="preserve">Record the project version you are reviewing</t>
  </si>
  <si>
    <t xml:space="preserve">Git: run  git rev-parse HEAD  in the project folder. ZIP: record the download date and time. The re-run also records it in environment.txt ('Project version').</t>
  </si>
  <si>
    <t xml:space="preserve">Reviewer sheet; start-here/logs/run_*/environment.txt</t>
  </si>
  <si>
    <t xml:space="preserve">Commit ID (or ZIP download date) recorded</t>
  </si>
  <si>
    <t xml:space="preserve">A4</t>
  </si>
  <si>
    <t xml:space="preserve">Install the software exactly as instructed</t>
  </si>
  <si>
    <t xml:space="preserve">Follow start-here/README.md steps 1 to 5 without changes. Note any step you had to change or that was unclear.</t>
  </si>
  <si>
    <t xml:space="preserve">start-here/README.md, steps 1-5</t>
  </si>
  <si>
    <t xml:space="preserve">Setup ends with 'Successfully installed'; deviations noted</t>
  </si>
  <si>
    <t xml:space="preserve">A5</t>
  </si>
  <si>
    <t xml:space="preserve">Confirm the pinned DuckDB version</t>
  </si>
  <si>
    <t xml:space="preserve">Run  .venv/bin/python -c "import duckdb; print(duckdb.__version__)"</t>
  </si>
  <si>
    <t xml:space="preserve">pyproject.toml; requirements.txt</t>
  </si>
  <si>
    <t xml:space="preserve">1.5.6 (random draws depend on this version)</t>
  </si>
  <si>
    <t xml:space="preserve">B1</t>
  </si>
  <si>
    <t xml:space="preserve">Re-run with date-stamped logs</t>
  </si>
  <si>
    <t xml:space="preserve">Run the quick trial</t>
  </si>
  <si>
    <t xml:space="preserve">Run  .venv/bin/python start-here/run_all.py --quick  and record the log folder name.</t>
  </si>
  <si>
    <t xml:space="preserve">start-here/logs/run_&lt;date&gt;_&lt;time&gt;_quick/</t>
  </si>
  <si>
    <t xml:space="preserve">Ends with 'Your setup works.'</t>
  </si>
  <si>
    <t xml:space="preserve">B2</t>
  </si>
  <si>
    <t xml:space="preserve">Start the full replication and record the start date and time</t>
  </si>
  <si>
    <t xml:space="preserve">Run  .venv/bin/python start-here/run_all.py . Record the start time on the Run log sheet.</t>
  </si>
  <si>
    <t xml:space="preserve">start-here/logs/run_&lt;date&gt;_&lt;time&gt;/run_log.txt (first line)</t>
  </si>
  <si>
    <t xml:space="preserve">Run started; log folder created</t>
  </si>
  <si>
    <t xml:space="preserve">B3</t>
  </si>
  <si>
    <t xml:space="preserve">Stage 1 completed: populations built and calibration checks passed</t>
  </si>
  <si>
    <t xml:space="preserve">In run_log.txt, find 'Stage 1 finished'. Open each errors/output*/.../checks.json and confirm every check passes.</t>
  </si>
  <si>
    <t xml:space="preserve">run_log.txt; */errors/output*/*/checks.json</t>
  </si>
  <si>
    <t xml:space="preserve">Stage 1 finished; all calibration checks pass</t>
  </si>
  <si>
    <t xml:space="preserve">B4</t>
  </si>
  <si>
    <t xml:space="preserve">Stage 2 completed: reported estimates (parametric-rate bootstrap)</t>
  </si>
  <si>
    <t xml:space="preserve">Find 'Stage 2 finished' in run_log.txt. Record the time on the Run log sheet.</t>
  </si>
  <si>
    <t xml:space="preserve">run_log.txt; */estimation/results/</t>
  </si>
  <si>
    <t xml:space="preserve">Stage 2 finished, no FAILED lines</t>
  </si>
  <si>
    <t xml:space="preserve">B5</t>
  </si>
  <si>
    <t xml:space="preserve">Stage 3 completed: fixed-rate comparison</t>
  </si>
  <si>
    <t xml:space="preserve">Find 'Stage 3 finished' in run_log.txt.</t>
  </si>
  <si>
    <t xml:space="preserve">run_log.txt; */estimation/results_fixed/</t>
  </si>
  <si>
    <t xml:space="preserve">Stage 3 finished, no FAILED lines</t>
  </si>
  <si>
    <t xml:space="preserve">B6</t>
  </si>
  <si>
    <t xml:space="preserve">Stage 4 completed: Part D pre-IRA reference</t>
  </si>
  <si>
    <t xml:space="preserve">Find 'Stage 4 finished' in run_log.txt.</t>
  </si>
  <si>
    <t xml:space="preserve">run_log.txt; part-d-ipm/pre-ira-reference.md</t>
  </si>
  <si>
    <t xml:space="preserve">Stage 4 finished, no FAILED lines</t>
  </si>
  <si>
    <t xml:space="preserve">B7</t>
  </si>
  <si>
    <t xml:space="preserve">Stages 5 and 6 completed: report and manuscript tables</t>
  </si>
  <si>
    <t xml:space="preserve">Find 'Stage 5 finished' and 'Stage 6 finished' in run_log.txt.</t>
  </si>
  <si>
    <t xml:space="preserve">run_log.txt; shared/results/report/; manuscripts/generated/</t>
  </si>
  <si>
    <t xml:space="preserve">Both stages finished</t>
  </si>
  <si>
    <t xml:space="preserve">B8</t>
  </si>
  <si>
    <t xml:space="preserve">Stage 7 completed: automated tests pass</t>
  </si>
  <si>
    <t xml:space="preserve">Open the stage7 log. The last pytest line reports the number passed.</t>
  </si>
  <si>
    <t xml:space="preserve">start-here/logs/run_*/stage7_01_pytest.log</t>
  </si>
  <si>
    <t xml:space="preserve">All tests passed, 0 failed</t>
  </si>
  <si>
    <t xml:space="preserve">B9</t>
  </si>
  <si>
    <t xml:space="preserve">Stage 8: the result check reproduces the published results</t>
  </si>
  <si>
    <t xml:space="preserve">Open the stage8 log (or verification/verify_check.txt after collecting).</t>
  </si>
  <si>
    <t xml:space="preserve">start-here/logs/run_*/stage8_01_start_here_verify.log</t>
  </si>
  <si>
    <t xml:space="preserve">REPRODUCED EXACTLY (or REPRODUCED, with the reason explained in Notes)</t>
  </si>
  <si>
    <t xml:space="preserve">B10</t>
  </si>
  <si>
    <t xml:space="preserve">If the run was interrupted, every stage still completed once</t>
  </si>
  <si>
    <t xml:space="preserve">If you resumed with --from, confirm that each stage 1-8 has a 'Stage N finished' line across the run folders.</t>
  </si>
  <si>
    <t xml:space="preserve">start-here/logs/run_*/run_log.txt</t>
  </si>
  <si>
    <t xml:space="preserve">Every stage finished at least once, in order; or N/A</t>
  </si>
  <si>
    <t xml:space="preserve">B11</t>
  </si>
  <si>
    <t xml:space="preserve">The logs contain no errors</t>
  </si>
  <si>
    <t xml:space="preserve">Search every .log file for 'Traceback', 'Error', 'FAILED' and 'exit code: 1'. (A RuntimeWarning is not an error.)</t>
  </si>
  <si>
    <t xml:space="preserve">start-here/logs/run_*/*.log</t>
  </si>
  <si>
    <t xml:space="preserve">None found, or each explained in Notes</t>
  </si>
  <si>
    <t xml:space="preserve">B12</t>
  </si>
  <si>
    <t xml:space="preserve">Collect the re-run into the QA holding space</t>
  </si>
  <si>
    <t xml:space="preserve">Run  .venv/bin/python qa/collect_rerun.py --reviewer "Your Name" --initials XX</t>
  </si>
  <si>
    <t xml:space="preserve">qa/reruns/&lt;date&gt;_&lt;initials&gt;/</t>
  </si>
  <si>
    <t xml:space="preserve">Folder created; RERUN_SUMMARY.md lists your runs and the result check</t>
  </si>
  <si>
    <t xml:space="preserve">B13</t>
  </si>
  <si>
    <t xml:space="preserve">Review the environment record</t>
  </si>
  <si>
    <t xml:space="preserve">Open environment.txt in each run folder. Confirm the date, operating system, Python and package versions are yours.</t>
  </si>
  <si>
    <t xml:space="preserve">qa/reruns/&lt;date&gt;_&lt;initials&gt;/logs/run_*/environment.txt</t>
  </si>
  <si>
    <t xml:space="preserve">Matches your computer; copied to the Reviewer sheet</t>
  </si>
  <si>
    <t xml:space="preserve">B14</t>
  </si>
  <si>
    <t xml:space="preserve">Review the file inventory</t>
  </si>
  <si>
    <t xml:space="preserve">Open file_inventory.csv in Excel. Filter matches_published for 'NO'.</t>
  </si>
  <si>
    <t xml:space="preserve">qa/reruns/&lt;date&gt;_&lt;initials&gt;/verification/file_inventory.csv</t>
  </si>
  <si>
    <t xml:space="preserve">No rows with 'NO', or each explained in Notes</t>
  </si>
  <si>
    <t xml:space="preserve">C1</t>
  </si>
  <si>
    <t xml:space="preserve">Code review: key assumptions</t>
  </si>
  <si>
    <t xml:space="preserve">Review is perfect: the audit finding equals the true error</t>
  </si>
  <si>
    <t xml:space="preserve">Confirm that the sampled units' y is read directly from the population's true y, with no review error or appeals.</t>
  </si>
  <si>
    <t xml:space="preserve">shared/sql/sample_srs.sql; shared/sql/sample_systematic.sql; */estimation/sql/*01_frame.sql</t>
  </si>
  <si>
    <t xml:space="preserve">Sample y = population y; no reviewer error modeled (manuscript Appendix B.6, item 1)</t>
  </si>
  <si>
    <t xml:space="preserve">C2</t>
  </si>
  <si>
    <t xml:space="preserve">One audit per audit year; every method uses only that audit</t>
  </si>
  <si>
    <t xml:space="preserve">Confirm that expansion, ratio and regression read the same sample table, and that the bootstrap simulation uses only that year's audit findings (Part D: its own 5,000-PDE audit).</t>
  </si>
  <si>
    <t xml:space="preserve">*/estimation/config.yaml (step order); shared/ipsim/simulation.py</t>
  </si>
  <si>
    <t xml:space="preserve">No method sees the population's true errors; Part D's two audits are as documented</t>
  </si>
  <si>
    <t xml:space="preserve">C3</t>
  </si>
  <si>
    <t xml:space="preserve">Errors are independent of selection within a stratum</t>
  </si>
  <si>
    <t xml:space="preserve">Confirm that errors are fabricated before sampling and that sample selection uses only stratum and unit id (not y).</t>
  </si>
  <si>
    <t xml:space="preserve">*/errors/sql/*apply_errors*.sql; shared/sql/sample_srs.sql; shared/sql/lib/00_rng.sql</t>
  </si>
  <si>
    <t xml:space="preserve">Selection keys never use y</t>
  </si>
  <si>
    <t xml:space="preserve">C4</t>
  </si>
  <si>
    <t xml:space="preserve">Neyman allocation uses the population's stratum standard deviations</t>
  </si>
  <si>
    <t xml:space="preserve">Confirm n_h is proportional to N_h x S_h, with S_h computed from the population (standing in for prior-year data), and sums to the stated audit size.</t>
  </si>
  <si>
    <t xml:space="preserve">eipm/estimation/sql/01_frame.sql; perm-cert/estimation/sql/perm_01_frame.sql, cert_01_frame.sql; part-d-ipm/estimation/sql/40_simulation_inputs.sql; allocation.json</t>
  </si>
  <si>
    <t xml:space="preserve">Neyman formula; sizes 2,000 (EIPM), 520 per state (PERM), 37,651 (CERT), 5,000 PDEs (Part D)</t>
  </si>
  <si>
    <t xml:space="preserve">C5</t>
  </si>
  <si>
    <t xml:space="preserve">Netting: errors netted within the payment unit before measures</t>
  </si>
  <si>
    <t xml:space="preserve">Confirm over = sum max(y,0), under = sum max(-y,0), gross = over + under, net = over - under, after netting per enrollee/beneficiary/claim.</t>
  </si>
  <si>
    <t xml:space="preserve">*/estimation/sql/*01_frame.sql; */errors/sql/*truth*.sql</t>
  </si>
  <si>
    <t xml:space="preserve">Matches manuscript Section 3.3</t>
  </si>
  <si>
    <t xml:space="preserve">C6</t>
  </si>
  <si>
    <t xml:space="preserve">Unknown payments (e.g., missing documentation) count as improper</t>
  </si>
  <si>
    <t xml:space="preserve">Confirm missing-documentation errors set the whole payment (or every HCC) to improper.</t>
  </si>
  <si>
    <t xml:space="preserve">part-c-ipm/errors/sql/04_apply_errors.sql; perm-cert/errors/sql/cert_02_apply_errors.sql</t>
  </si>
  <si>
    <t xml:space="preserve">Follows CMS practice (Appendix B.6, item 6)</t>
  </si>
  <si>
    <t xml:space="preserve">C7</t>
  </si>
  <si>
    <t xml:space="preserve">Calibration is one closed-form multiplier, with no iterative tuning</t>
  </si>
  <si>
    <t xml:space="preserve">Confirm each calibrated rate = base probability x (target dollars / expected dollars), and that the multiplier is logged.</t>
  </si>
  <si>
    <t xml:space="preserve">*/errors/sql/*apply_errors*.sql; part-d-ipm/errors/sql/03_init_calibration.sql; truth.json (by.calibration)</t>
  </si>
  <si>
    <t xml:space="preserve">One multiplier per target; recorded in truth.json</t>
  </si>
  <si>
    <t xml:space="preserve">C8</t>
  </si>
  <si>
    <t xml:space="preserve">Random draws are deterministic functions of (seed, stream, key)</t>
  </si>
  <si>
    <t xml:space="preserve">Confirm SQL draws hash a single string per stream and simulation draws use PCG64 seeded by SeedSequence([scenario seed, audit year]).</t>
  </si>
  <si>
    <t xml:space="preserve">shared/sql/lib/00_rng.sql; shared/ipsim/engine.py (child_seed); shared/ipsim/simulation.py</t>
  </si>
  <si>
    <t xml:space="preserve">No unseeded randomness anywhere</t>
  </si>
  <si>
    <t xml:space="preserve">C9</t>
  </si>
  <si>
    <t xml:space="preserve">Scale factors convert synthetic units to national dollars</t>
  </si>
  <si>
    <t xml:space="preserve">Confirm w_pop: Part C 100, Part D 500, EIPM 100, PERM 200, CERT 200; national dollars = rate x total payments x w_pop.</t>
  </si>
  <si>
    <t xml:space="preserve">*/errors/config.yaml (w_pop); shared/sql/report.sql</t>
  </si>
  <si>
    <t xml:space="preserve">Values as stated; rates are scale-free</t>
  </si>
  <si>
    <t xml:space="preserve">C10</t>
  </si>
  <si>
    <t xml:space="preserve">Analytic intervals: normal (1.96) with finite population correction</t>
  </si>
  <si>
    <t xml:space="preserve">Confirm expansion and ratio variances use the stratified SRS formula with (1 - n_h/N_h), and intervals are estimate +/- 1.96 SE.</t>
  </si>
  <si>
    <t xml:space="preserve">shared/sql/lib/02_estimators.sql (ipm_expansion, ipm_ratio)</t>
  </si>
  <si>
    <t xml:space="preserve">Matches manuscript Section 3.4</t>
  </si>
  <si>
    <t xml:space="preserve">C11</t>
  </si>
  <si>
    <t xml:space="preserve">Regression: models fit within strata; residual t interval</t>
  </si>
  <si>
    <t xml:space="preserve">Confirm design-weighted least squares within each model stratum, T = sum of predictions + weighted residuals, variance from residuals, t with df = n - strata - terms.</t>
  </si>
  <si>
    <t xml:space="preserve">shared/ipsim/regression.py; */estimation/sql/*30_regression.sql</t>
  </si>
  <si>
    <t xml:space="preserve">C12</t>
  </si>
  <si>
    <t xml:space="preserve">Regression fallback: intercept-only with too few errors</t>
  </si>
  <si>
    <t xml:space="preserve">Confirm a stratum uses an intercept-only model when it has fewer than 10 audited errors or fewer than (terms + 5) units.</t>
  </si>
  <si>
    <t xml:space="preserve">shared/ipsim/regression.py; */estimation/config.yaml (reg_min_errors: 10)</t>
  </si>
  <si>
    <t xml:space="preserve">Threshold 10 errors; terms + 5 units</t>
  </si>
  <si>
    <t xml:space="preserve">C13</t>
  </si>
  <si>
    <t xml:space="preserve">Regression predictors by program</t>
  </si>
  <si>
    <t xml:space="preserve">Confirm reg_predictors: Part C x, demo_score, months, n_hcc; Part D x, gdc_sub, n_pde, catastrophic (post-strata LTC/LIS/other); EIPM x, age, hh_size, fpl_pct, months; PERM x, month, bene_n_pay, bene_paid; CERT x.</t>
  </si>
  <si>
    <t xml:space="preserve">*/estimation/config.yaml; perm-cert/estimation/perm.yaml, cert.yaml</t>
  </si>
  <si>
    <t xml:space="preserve">Predictors as listed in manuscript Section 3.4</t>
  </si>
  <si>
    <t xml:space="preserve">C14</t>
  </si>
  <si>
    <t xml:space="preserve">Bootstrap simulation (fixed rates): p = f/n, q = g/f per donor kind</t>
  </si>
  <si>
    <t xml:space="preserve">Confirm each non-audited unit is in error with p_k, partial with q_k, partial size drawn uniformly from the audited partial sizes.</t>
  </si>
  <si>
    <t xml:space="preserve">shared/ipsim/simulation.py; */estimation/*simulation.py; */estimation/sql/*40_simulation_inputs.sql</t>
  </si>
  <si>
    <t xml:space="preserve">Matches manuscript Section 3.5</t>
  </si>
  <si>
    <t xml:space="preserve">C15</t>
  </si>
  <si>
    <t xml:space="preserve">Bootstrap simulation (parametric rates): binomial redraw each iteration</t>
  </si>
  <si>
    <t xml:space="preserve">Confirm p~ = Binomial(n, p)/n and q~ = Binomial(f, q)/f before every iteration, and that zero-failure rates stay at zero.</t>
  </si>
  <si>
    <t xml:space="preserve">shared/ipsim/simulation.py (sim_rates: parametric)</t>
  </si>
  <si>
    <t xml:space="preserve">Matches manuscript Section 3.6</t>
  </si>
  <si>
    <t xml:space="preserve">C16</t>
  </si>
  <si>
    <t xml:space="preserve">Audited units keep their own findings</t>
  </si>
  <si>
    <t xml:space="preserve">Confirm the simulation assigns errors only to non-audited units and keeps each audited unit's actual finding.</t>
  </si>
  <si>
    <t xml:space="preserve">*/estimation/*simulation.py</t>
  </si>
  <si>
    <t xml:space="preserve">Audited units unchanged across iterations</t>
  </si>
  <si>
    <t xml:space="preserve">C17</t>
  </si>
  <si>
    <t xml:space="preserve">Simulation estimate and interval: mean and 2.5th-97.5th percentiles of 1,000 iterations</t>
  </si>
  <si>
    <t xml:space="preserve">Confirm sim_iterations: 1000 and the percentile interval.</t>
  </si>
  <si>
    <t xml:space="preserve">shared/ipsim/simulation.py; */estimation/config.yaml</t>
  </si>
  <si>
    <t xml:space="preserve">1,000 iterations; mean; 2.5th and 97.5th percentiles</t>
  </si>
  <si>
    <t xml:space="preserve">C18</t>
  </si>
  <si>
    <t xml:space="preserve">Scoring: coverage, 25 audit years, medians</t>
  </si>
  <si>
    <t xml:space="preserve">Confirm an interval covers if lower &lt;= truth &lt;= upper, undefined intervals count as not covering, and the report uses audit years 1-25 with medians.</t>
  </si>
  <si>
    <t xml:space="preserve">shared/sql/lib/02_estimators.sql (ipm_score); shared/sql/report.sql; shared/report.yaml (audit_years: 25)</t>
  </si>
  <si>
    <t xml:space="preserve">As stated in the README and manuscript Section 3.7</t>
  </si>
  <si>
    <t xml:space="preserve">C19</t>
  </si>
  <si>
    <t xml:space="preserve">Part C: population size, payment total and HCC model</t>
  </si>
  <si>
    <t xml:space="preserve">Confirm about 330,000 enrollees (x100), 550 contracts, payment scaled to $388.72B, HCC hierarchies (severe/mild within 10 illustrative families).</t>
  </si>
  <si>
    <t xml:space="preserve">part-c-ipm/errors/config.yaml; part-c-ipm/errors/sql/01-03*.sql</t>
  </si>
  <si>
    <t xml:space="preserve">Matches Appendix B.1</t>
  </si>
  <si>
    <t xml:space="preserve">C20</t>
  </si>
  <si>
    <t xml:space="preserve">Part C: error mechanisms and calibration targets</t>
  </si>
  <si>
    <t xml:space="preserve">Confirm unsupported HCCs (deleted or moved down), missing documentation, and supported-but-not-coded HCCs (underpayments); targets 5.29% unsupported, 0.22% missing documentation, 0.57% underpayments.</t>
  </si>
  <si>
    <t xml:space="preserve">part-c-ipm/errors/config.yaml (target_*); part-c-ipm/errors/sql/04_apply_errors.sql</t>
  </si>
  <si>
    <t xml:space="preserve">FY 2025 Part C: 6.09% gross, $21.43B over, $2.23B under</t>
  </si>
  <si>
    <t xml:space="preserve">C21</t>
  </si>
  <si>
    <t xml:space="preserve">Part C: audit design (990 enrollees, 330 per risk-score tercile)</t>
  </si>
  <si>
    <t xml:space="preserve">Confirm the estimation allocation. NOTE: the design block in part-c-ipm/errors/config.yaml lists 1,500 per stratum; confirm it is description only and not used by the estimation.</t>
  </si>
  <si>
    <t xml:space="preserve">part-c-ipm/estimation/config.yaml (allocation); part-c-ipm/errors/config.yaml (design)</t>
  </si>
  <si>
    <t xml:space="preserve">330 x 3 used; record the design-block discrepancy as an issue (Minor)</t>
  </si>
  <si>
    <t xml:space="preserve">C22</t>
  </si>
  <si>
    <t xml:space="preserve">Part C: expansion in risk-score units; simulation donors are HCCs</t>
  </si>
  <si>
    <t xml:space="preserve">Confirm expansion = mean risk-score error x tercile size x national mean county rate x months; simulation uses 20 HCC failure rates and 10 family addition rates, never extrapolating to unaudited HCCs.</t>
  </si>
  <si>
    <t xml:space="preserve">part-c-ipm/estimation/sql/10_expansion.sql; part-c-ipm/estimation/simulation.py; sql/40_simulation_inputs.sql</t>
  </si>
  <si>
    <t xml:space="preserve">C23</t>
  </si>
  <si>
    <t xml:space="preserve">Part D: post-IRA CY 2025 benefit parameters</t>
  </si>
  <si>
    <t xml:space="preserve">Confirm $590 deductible, $2,000 out-of-pocket threshold, 25% initial coinsurance, manufacturer 10%/20% (brand), reinsurance 20% brand/40% generic, LIS copays $4.90/$12.15.</t>
  </si>
  <si>
    <t xml:space="preserve">part-d-ipm/errors/config.yaml; part-d-ipm/errors/sql/05_benefit.sql</t>
  </si>
  <si>
    <t xml:space="preserve">Matches Appendix B.2 and CMS CY 2025 parameters</t>
  </si>
  <si>
    <t xml:space="preserve">C24</t>
  </si>
  <si>
    <t xml:space="preserve">Part D: error rates and sizes (not calibrated)</t>
  </si>
  <si>
    <t xml:space="preserve">Confirm 10% of LTC PDEs and 2.5% of other PDEs in error; 90% full (GDC to 0), 10% partial uniform on [-100%, 100%). Truth 1.38% (published FY 2025 rate 4.00% is intentionally not targeted).</t>
  </si>
  <si>
    <t xml:space="preserve">part-d-ipm/errors/config.yaml; part-d-ipm/errors/sql/02_candidate_errors.sql, 04_apply_errors.sql</t>
  </si>
  <si>
    <t xml:space="preserve">Matches Appendix B.2</t>
  </si>
  <si>
    <t xml:space="preserve">C25</t>
  </si>
  <si>
    <t xml:space="preserve">Part D: numpy payment function reproduces the SQL benefit to the cent</t>
  </si>
  <si>
    <t xml:space="preserve">Confirm the test exists and passed in stage 7.</t>
  </si>
  <si>
    <t xml:space="preserve">shared/tests/test_simulation.py; part-d-ipm/estimation/simulation.py</t>
  </si>
  <si>
    <t xml:space="preserve">Test present and passing</t>
  </si>
  <si>
    <t xml:space="preserve">C26</t>
  </si>
  <si>
    <t xml:space="preserve">Part D: two audits and the expansion delta-method interval</t>
  </si>
  <si>
    <t xml:space="preserve">Confirm the 990-beneficiary SRS (ratio, regression) and the 5,000-PDE Neyman audit in 3 strata (expansion, simulation); expansion interval moves each stratum rate +/-1 SE and reruns the benefit.</t>
  </si>
  <si>
    <t xml:space="preserve">part-d-ipm/estimation/config.yaml; sql/40_simulation_inputs.sql; simulation.py (run_expansion)</t>
  </si>
  <si>
    <t xml:space="preserve">C27</t>
  </si>
  <si>
    <t xml:space="preserve">Part D pre-IRA: CY 2023 benefit parameters</t>
  </si>
  <si>
    <t xml:space="preserve">Confirm $505 deductible, $4,660 initial coverage limit, $7,400 TrOOP threshold, 70% coverage-gap discount, 80% catastrophic reinsurance, LIS copays $4.15/$10.35.</t>
  </si>
  <si>
    <t xml:space="preserve">part-d-ipm/errors/pre_ira.yaml; part-d-ipm/errors/sql/05_benefit_pre_ira.sql</t>
  </si>
  <si>
    <t xml:space="preserve">Matches part-d-ipm/pre-ira-reference.md</t>
  </si>
  <si>
    <t xml:space="preserve">C28</t>
  </si>
  <si>
    <t xml:space="preserve">PERM: states, error rates and federal share</t>
  </si>
  <si>
    <t xml:space="preserve">Confirm 9 states with eligibility rates on a 2.00%-4.00% grid; FFS claims errors 6.5% (70% all-or-nothing, 30% partial), MC 0.3%; rates at federal share (sum y x FMAP / sum x x FMAP).</t>
  </si>
  <si>
    <t xml:space="preserve">perm-cert/errors/perm.yaml; perm-cert/errors/sql/perm_02*.sql, perm_03*.sql</t>
  </si>
  <si>
    <t xml:space="preserve">Matches Appendix B.3; pooled about 6.12%</t>
  </si>
  <si>
    <t xml:space="preserve">C29</t>
  </si>
  <si>
    <t xml:space="preserve">PERM: gross combines eligibility and claims errors without double counting</t>
  </si>
  <si>
    <t xml:space="preserve">Confirm gross = whole payment if the beneficiary is ineligible, otherwise the claims error.</t>
  </si>
  <si>
    <t xml:space="preserve">perm-cert/errors/sql/perm_04_truth.sql</t>
  </si>
  <si>
    <t xml:space="preserve">Claims + eligibility - overlap</t>
  </si>
  <si>
    <t xml:space="preserve">C30</t>
  </si>
  <si>
    <t xml:space="preserve">PERM: audit design and national pooling</t>
  </si>
  <si>
    <t xml:space="preserve">Confirm 520 payments per state, 10 strata (payment type x 5 quintiles), Neyman, systematic selection after sorting by amount; national pooling adds dollars and variances (analytic) and sums iteration totals (simulation).</t>
  </si>
  <si>
    <t xml:space="preserve">perm-cert/estimation/perm.yaml; shared/sql/sample_systematic.sql; perm-cert/estimation/sql/perm_95_national.sql</t>
  </si>
  <si>
    <t xml:space="preserve">Matches Appendix B.3</t>
  </si>
  <si>
    <t xml:space="preserve">C31</t>
  </si>
  <si>
    <t xml:space="preserve">EIPM: overpayments only; technical and monetary errors</t>
  </si>
  <si>
    <t xml:space="preserve">Confirm no underpayments; technical errors (whole APTC) are 48% of improper dollars; monetary errors raise supported income by a lognormal factor and recompute APTC; target 0.89%.</t>
  </si>
  <si>
    <t xml:space="preserve">eipm/errors/config.yaml; eipm/errors/sql/02_apply_errors.sql</t>
  </si>
  <si>
    <t xml:space="preserve">Matches Appendix B.4</t>
  </si>
  <si>
    <t xml:space="preserve">C32</t>
  </si>
  <si>
    <t xml:space="preserve">EIPM: APTC schedule and simulation income clipping</t>
  </si>
  <si>
    <t xml:space="preserve">Confirm the enhanced applicable-percentage schedule (0% to 8.5%) and that simulated incomes are clipped to 100-600% FPL.</t>
  </si>
  <si>
    <t xml:space="preserve">eipm/errors/config.yaml (applicable_schedule); eipm/estimation/simulation.py</t>
  </si>
  <si>
    <t xml:space="preserve">As stated</t>
  </si>
  <si>
    <t xml:space="preserve">C33</t>
  </si>
  <si>
    <t xml:space="preserve">EIPM: audit design</t>
  </si>
  <si>
    <t xml:space="preserve">Confirm stratified SRS of 2,000 applications, Neyman over 5 APTC quintiles (illustrative strata).</t>
  </si>
  <si>
    <t xml:space="preserve">eipm/estimation/config.yaml; eipm/estimation/sql/01_frame.sql</t>
  </si>
  <si>
    <t xml:space="preserve">C34</t>
  </si>
  <si>
    <t xml:space="preserve">CERT: claim types and payments</t>
  </si>
  <si>
    <t xml:space="preserve">Confirm 4 claim types (IPPS 40,000; Part A other 900,000; Part B 4,000,000; DMEPOS 400,000 synthetic claims) scaled to $118.5B, $197.9B, $114.1B, $9.4B ($439.9B).</t>
  </si>
  <si>
    <t xml:space="preserve">perm-cert/errors/cert.yaml; perm-cert/errors/sql/cert_01_population.sql</t>
  </si>
  <si>
    <t xml:space="preserve">Matches Appendix B.5</t>
  </si>
  <si>
    <t xml:space="preserve">C35</t>
  </si>
  <si>
    <t xml:space="preserve">CERT: error mix and calibration</t>
  </si>
  <si>
    <t xml:space="preserve">Confirm whole-claim overpayments 92% of overpayment dollars, partial 8% (5-60% of payment), underpayments 5-50%; per-type closed-form rates from FY 2025 dollars.</t>
  </si>
  <si>
    <t xml:space="preserve">perm-cert/errors/cert.yaml; perm-cert/errors/sql/cert_02_apply_errors.sql</t>
  </si>
  <si>
    <t xml:space="preserve">Truth 6.50% gross (published 6.55%); $0.92B under</t>
  </si>
  <si>
    <t xml:space="preserve">C36</t>
  </si>
  <si>
    <t xml:space="preserve">CERT: audit design</t>
  </si>
  <si>
    <t xml:space="preserve">Confirm 37,651 claims (IPPS 8,750; Part A other 8,651; Part B 11,600; DMEPOS 8,650), Neyman across 5 payment quintiles within type; no MAC jurisdictions; no A-to-B rebilling.</t>
  </si>
  <si>
    <t xml:space="preserve">perm-cert/estimation/cert.yaml; sql/cert_01_frame.sql, cert_02_sample.sql</t>
  </si>
  <si>
    <t xml:space="preserve">C37</t>
  </si>
  <si>
    <t xml:space="preserve">Audit-size projection formula</t>
  </si>
  <si>
    <t xml:space="preserve">Confirm the share of the current audit = (parametric half-width / analytic half-width) squared.</t>
  </si>
  <si>
    <t xml:space="preserve">manuscripts/scripts/build_tables.py</t>
  </si>
  <si>
    <t xml:space="preserve">Matches manuscript Sections 3.7 and 5.2</t>
  </si>
  <si>
    <t xml:space="preserve">D1</t>
  </si>
  <si>
    <t xml:space="preserve">Results: represented correctly</t>
  </si>
  <si>
    <t xml:space="preserve">Main README: gross improper payments (dollars) table</t>
  </si>
  <si>
    <t xml:space="preserve">For each program and method, compare True / Estimated / Upper / Lower with by_scenario.csv (domain ending in 'gross'; PERM and CERT 'national' rows): true_improper_usd, median_estimate_usd, median_upper_usd, median_lower_usd.</t>
  </si>
  <si>
    <t xml:space="preserve">README.md (Results); shared/results/report/by_scenario.csv</t>
  </si>
  <si>
    <t xml:space="preserve">Every value matches after rounding to $0.01B</t>
  </si>
  <si>
    <t xml:space="preserve">D2</t>
  </si>
  <si>
    <t xml:space="preserve">Main README: gross improper payment rates table</t>
  </si>
  <si>
    <t xml:space="preserve">Same comparison using true_rate, median_estimate, median_upper, median_lower.</t>
  </si>
  <si>
    <t xml:space="preserve">Every value matches after rounding to 0.01%</t>
  </si>
  <si>
    <t xml:space="preserve">D3</t>
  </si>
  <si>
    <t xml:space="preserve">Main README: Findings and recommendations numbers</t>
  </si>
  <si>
    <t xml:space="preserve">Check 121/125 (96.8%), 111/125, 108/125, 30/125, 11-21% narrower, 63%, 1.5-6.6% and 16.6% MAE, 19-20 of 25, 15 of 25, and 20-38% smaller audits against the tables.</t>
  </si>
  <si>
    <t xml:space="preserve">README.md (Findings); manuscripts/generated/tables.md; results_long.csv</t>
  </si>
  <si>
    <t xml:space="preserve">Every number traceable to a table</t>
  </si>
  <si>
    <t xml:space="preserve">D4</t>
  </si>
  <si>
    <t xml:space="preserve">Program READMEs: results tables</t>
  </si>
  <si>
    <t xml:space="preserve">For each program README, compare the Dollars, Rates and coverage tables with by_scenario.csv.</t>
  </si>
  <si>
    <t xml:space="preserve">part-c-ipm, part-d-ipm, eipm, perm-cert README.md; by_scenario.csv</t>
  </si>
  <si>
    <t xml:space="preserve">All values match</t>
  </si>
  <si>
    <t xml:space="preserve">D5</t>
  </si>
  <si>
    <t xml:space="preserve">Manuscript tables match the generated tables</t>
  </si>
  <si>
    <t xml:space="preserve">Compare Tables 2, 3, 4, 5 and C1 in manuscript.pdf with tables.md.</t>
  </si>
  <si>
    <t xml:space="preserve">manuscripts/manuscript.pdf; manuscripts/generated/tables.md</t>
  </si>
  <si>
    <t xml:space="preserve">Identical</t>
  </si>
  <si>
    <t xml:space="preserve">D6</t>
  </si>
  <si>
    <t xml:space="preserve">Manuscript text numbers match the tables</t>
  </si>
  <si>
    <t xml:space="preserve">Check every number in the abstract, Results (Section 4) and Discussion (Section 5) against Tables 2-5.</t>
  </si>
  <si>
    <t xml:space="preserve">manuscripts/sections/*.md; manuscripts/generated/tables.md</t>
  </si>
  <si>
    <t xml:space="preserve">Every number traceable; none contradicts a table</t>
  </si>
  <si>
    <t xml:space="preserve">D7</t>
  </si>
  <si>
    <t xml:space="preserve">Manuscript Table 1 (populations) matches the configs and truth files</t>
  </si>
  <si>
    <t xml:space="preserve">Compare unit counts, audit sizes and true gross rates with the configs and truth.json.</t>
  </si>
  <si>
    <t xml:space="preserve">manuscripts/sections/01_background_methods.md; */errors/output*/*/truth.json</t>
  </si>
  <si>
    <t xml:space="preserve">All match</t>
  </si>
  <si>
    <t xml:space="preserve">D8</t>
  </si>
  <si>
    <t xml:space="preserve">Figures 1 and 2 show the values in results_long.csv</t>
  </si>
  <si>
    <t xml:space="preserve">Spot-check at least 3 bars in each figure against results_long.csv.</t>
  </si>
  <si>
    <t xml:space="preserve">manuscripts/generated/fig1_width.png, fig2_coverage.png; results_long.csv</t>
  </si>
  <si>
    <t xml:space="preserve">Bars match the table values</t>
  </si>
  <si>
    <t xml:space="preserve">D9</t>
  </si>
  <si>
    <t xml:space="preserve">One-pager and conference abstract numbers</t>
  </si>
  <si>
    <t xml:space="preserve">Check every number against the manuscript tables; confirm the abstract is 500 words or fewer.</t>
  </si>
  <si>
    <t xml:space="preserve">manuscripts/one-pager.md; manuscripts/conference-abstract.md</t>
  </si>
  <si>
    <t xml:space="preserve">D10</t>
  </si>
  <si>
    <t xml:space="preserve">Calibration targets match public sources</t>
  </si>
  <si>
    <t xml:space="preserve">Check the FY 2025 public figures used as targets (Part C 6.09%, $21.43B/$2.23B; Medicaid 6.12%; EIPM 0.89% with 0.43 technical; CERT 6.55% and claim-type figures; Part D 4.00%) against the cited CMS sources.</t>
  </si>
  <si>
    <t xml:space="preserve">manuscript Section 3.2 and Appendix B; literature review Section 3 links</t>
  </si>
  <si>
    <t xml:space="preserve">Each target matches its public source</t>
  </si>
  <si>
    <t xml:space="preserve">D11</t>
  </si>
  <si>
    <t xml:space="preserve">True values in the tables equal the truth files</t>
  </si>
  <si>
    <t xml:space="preserve">Confirm true_rate in by_scenario.csv equals theta in each estimation truth.json and the populations' truth.json.</t>
  </si>
  <si>
    <t xml:space="preserve">by_scenario.csv; */estimation/results/*/truth.json; */errors/output*/*/truth.json</t>
  </si>
  <si>
    <t xml:space="preserve">D12</t>
  </si>
  <si>
    <t xml:space="preserve">Hand-check one median and one coverage count</t>
  </si>
  <si>
    <t xml:space="preserve">Open by_audit_year.csv (or .parquet). Filter Part C, national|gross, simulation. Compute the median of the 25 estimates and count truth_in_ci = 'inside'.</t>
  </si>
  <si>
    <t xml:space="preserve">shared/results/report/by_audit_year.csv</t>
  </si>
  <si>
    <t xml:space="preserve">Median equals median_estimate; count equals n_truth_inside (24)</t>
  </si>
  <si>
    <t xml:space="preserve">D13</t>
  </si>
  <si>
    <t xml:space="preserve">Part D pre-IRA reference is stated as reference only</t>
  </si>
  <si>
    <t xml:space="preserve">Confirm pre-ira-reference.md says it is not part of the reported results and that README tables use post-IRA results.</t>
  </si>
  <si>
    <t xml:space="preserve">part-d-ipm/pre-ira-reference.md; README.md</t>
  </si>
  <si>
    <t xml:space="preserve">Clearly labeled as a robustness reference</t>
  </si>
  <si>
    <t xml:space="preserve">D14</t>
  </si>
  <si>
    <t xml:space="preserve">Conclusions are supported by the results</t>
  </si>
  <si>
    <t xml:space="preserve">Read the Conclusions and Recommendations. Confirm each claim (validity, accuracy, precision, audit-size reduction 'pending confirmation') is supported and its limits are stated.</t>
  </si>
  <si>
    <t xml:space="preserve">README.md; manuscript Sections 5-7</t>
  </si>
  <si>
    <t xml:space="preserve">No claim goes beyond the evidence</t>
  </si>
  <si>
    <t xml:space="preserve">D15</t>
  </si>
  <si>
    <t xml:space="preserve">Limitations are complete</t>
  </si>
  <si>
    <t xml:space="preserve">Confirm the limitations cover 25 audit years (Monte Carlo SE about 4.4 points), synthetic populations, perfect review, Part D design differences, fixed error sizes, and one-sided recovery bounds untested.</t>
  </si>
  <si>
    <t xml:space="preserve">manuscript Section 5.4</t>
  </si>
  <si>
    <t xml:space="preserve">All present</t>
  </si>
  <si>
    <t xml:space="preserve">E1</t>
  </si>
  <si>
    <t xml:space="preserve">Tests and independent checks</t>
  </si>
  <si>
    <t xml:space="preserve">Automated tests pass on your computer</t>
  </si>
  <si>
    <t xml:space="preserve">Run  .venv/bin/python -m pytest -q shared/tests  (also run in stage 7).</t>
  </si>
  <si>
    <t xml:space="preserve">shared/tests/</t>
  </si>
  <si>
    <t xml:space="preserve">All passed</t>
  </si>
  <si>
    <t xml:space="preserve">E2</t>
  </si>
  <si>
    <t xml:space="preserve">Results do not depend on the number of processor threads</t>
  </si>
  <si>
    <t xml:space="preserve">Run  .venv/bin/python -m ipsim eipm/estimation/config.yaml --out qa/tmp_threads1 --threads 1 . Compare qa/tmp_threads1/base/manifest.json with eipm/estimation/results/base/manifest.json (estimates.parquet sha256). Then delete qa/tmp_threads1.</t>
  </si>
  <si>
    <t xml:space="preserve">eipm/estimation/results/base/manifest.json</t>
  </si>
  <si>
    <t xml:space="preserve">Identical sha256 fingerprints</t>
  </si>
  <si>
    <t xml:space="preserve">E3</t>
  </si>
  <si>
    <t xml:space="preserve">Census check: auditing every unit returns the true rate</t>
  </si>
  <si>
    <t xml:space="preserve">Confirm the test exists and passed.</t>
  </si>
  <si>
    <t xml:space="preserve">shared/tests/test_simulation.py</t>
  </si>
  <si>
    <t xml:space="preserve">E4</t>
  </si>
  <si>
    <t xml:space="preserve">Estimators match an independent implementation</t>
  </si>
  <si>
    <t xml:space="preserve">Confirm the SQL estimators are tested against a separate numpy implementation.</t>
  </si>
  <si>
    <t xml:space="preserve">shared/tests/test_estimators.py</t>
  </si>
  <si>
    <t xml:space="preserve">E5</t>
  </si>
  <si>
    <t xml:space="preserve">Spot-check one analytic estimate by hand</t>
  </si>
  <si>
    <t xml:space="preserve">In by_audit_year.csv, pick EIPM national|gross, ratio, audit year 1. Confirm lower = estimate - 1.96 x se is consistent with the reported interval (se in estimates.parquet).</t>
  </si>
  <si>
    <t xml:space="preserve">eipm/estimation/results/base/estimates.parquet; by_audit_year.csv</t>
  </si>
  <si>
    <t xml:space="preserve">Consistent to rounding</t>
  </si>
  <si>
    <t xml:space="preserve">F1</t>
  </si>
  <si>
    <t xml:space="preserve">Data security and disclosure</t>
  </si>
  <si>
    <t xml:space="preserve">No protected health information or real unit-level data</t>
  </si>
  <si>
    <t xml:space="preserve">Confirm every population is generated from stated distributions (errors/sql) and no data files are read from outside the project.</t>
  </si>
  <si>
    <t xml:space="preserve">*/errors/sql/*.sql; .gitignore (data/raw/ excluded)</t>
  </si>
  <si>
    <t xml:space="preserve">Only synthetic data</t>
  </si>
  <si>
    <t xml:space="preserve">F2</t>
  </si>
  <si>
    <t xml:space="preserve">No non-public material</t>
  </si>
  <si>
    <t xml:space="preserve">Confirm there are no contractor methodology plans, internal error data, or non-public CMS documents; non-public design values are labeled illustrative.</t>
  </si>
  <si>
    <t xml:space="preserve">configs (comments 'illustrative', 'NOT public'); literature-review references</t>
  </si>
  <si>
    <t xml:space="preserve">Public sources only; illustrative values labeled</t>
  </si>
  <si>
    <t xml:space="preserve">F3</t>
  </si>
  <si>
    <t xml:space="preserve">Sources for public figures are cited</t>
  </si>
  <si>
    <t xml:space="preserve">Confirm each public figure used for calibration is cited with a source.</t>
  </si>
  <si>
    <t xml:space="preserve">manuscript References; literature review References</t>
  </si>
  <si>
    <t xml:space="preserve">Every figure has a source</t>
  </si>
  <si>
    <t xml:space="preserve">F4</t>
  </si>
  <si>
    <t xml:space="preserve">Author disclosures and approvals</t>
  </si>
  <si>
    <t xml:space="preserve">Confirm the funding, conflicts of interest and disclaimer section is completed, and any employer or agency clearance needed before publication has been obtained.</t>
  </si>
  <si>
    <t xml:space="preserve">manuscripts/sections/03_future_conclusion_refs.md</t>
  </si>
  <si>
    <t xml:space="preserve">Completed before submission (or noted as open)</t>
  </si>
  <si>
    <t xml:space="preserve">F5</t>
  </si>
  <si>
    <t xml:space="preserve">License and repository contents</t>
  </si>
  <si>
    <t xml:space="preserve">Confirm a LICENSE file is present and the repository contains no credentials, personal data or large unexplained files.</t>
  </si>
  <si>
    <t xml:space="preserve">LICENSE; repository root</t>
  </si>
  <si>
    <t xml:space="preserve">As expected</t>
  </si>
  <si>
    <t xml:space="preserve">G1</t>
  </si>
  <si>
    <t xml:space="preserve">Documentation and reproducibility</t>
  </si>
  <si>
    <t xml:space="preserve">Start Here instructions worked as written</t>
  </si>
  <si>
    <t xml:space="preserve">Record any step that failed, was unclear, or needed a change on your operating system.</t>
  </si>
  <si>
    <t xml:space="preserve">start-here/README.md</t>
  </si>
  <si>
    <t xml:space="preserve">No changes needed, or each recorded on the Issues log</t>
  </si>
  <si>
    <t xml:space="preserve">G2</t>
  </si>
  <si>
    <t xml:space="preserve">Run times are close to the published estimates</t>
  </si>
  <si>
    <t xml:space="preserve">Compare your stage times (Run log sheet) with start-here/README.md step 7.</t>
  </si>
  <si>
    <t xml:space="preserve">start-here/README.md; Run log sheet</t>
  </si>
  <si>
    <t xml:space="preserve">Recorded; large differences explained</t>
  </si>
  <si>
    <t xml:space="preserve">G3</t>
  </si>
  <si>
    <t xml:space="preserve">Every result traces to code and data in the repository</t>
  </si>
  <si>
    <t xml:space="preserve">Pick 3 numbers from the manuscript and follow each back to the file and code that produced it.</t>
  </si>
  <si>
    <t xml:space="preserve">manuscripts; shared/results; */estimation</t>
  </si>
  <si>
    <t xml:space="preserve">Each traced without gaps</t>
  </si>
  <si>
    <t xml:space="preserve">G4</t>
  </si>
  <si>
    <t xml:space="preserve">Data dictionary describes the output files</t>
  </si>
  <si>
    <t xml:space="preserve">Spot-check 5 columns in estimates.parquet and by_scenario.csv against the data dictionary.</t>
  </si>
  <si>
    <t xml:space="preserve">shared/data_dictionary.md</t>
  </si>
  <si>
    <t xml:space="preserve">Definitions match</t>
  </si>
  <si>
    <t xml:space="preserve">H1</t>
  </si>
  <si>
    <t xml:space="preserve">Close-out and sign-off</t>
  </si>
  <si>
    <t xml:space="preserve">Every Fail is on the Issues log</t>
  </si>
  <si>
    <t xml:space="preserve">Check that each row marked Fail has an issue ID in the Issue ID column.</t>
  </si>
  <si>
    <t xml:space="preserve">Checklist; Issues log</t>
  </si>
  <si>
    <t xml:space="preserve">Yes</t>
  </si>
  <si>
    <t xml:space="preserve">H2</t>
  </si>
  <si>
    <t xml:space="preserve">Issues are resolved or accepted</t>
  </si>
  <si>
    <t xml:space="preserve">Confirm no Critical or Major issue is Open. Minor issues may remain open if noted on the sign-off form.</t>
  </si>
  <si>
    <t xml:space="preserve">Issues log; Summary sheet</t>
  </si>
  <si>
    <t xml:space="preserve">No open Critical or Major issues</t>
  </si>
  <si>
    <t xml:space="preserve">H3</t>
  </si>
  <si>
    <t xml:space="preserve">Completed checklist saved in the re-run folder</t>
  </si>
  <si>
    <t xml:space="preserve">Save this workbook as QA_Checklist_&lt;date&gt;_&lt;initials&gt;.xlsx in qa/reruns/&lt;date&gt;_&lt;initials&gt;/review/.</t>
  </si>
  <si>
    <t xml:space="preserve">qa/reruns/&lt;date&gt;_&lt;initials&gt;/review/</t>
  </si>
  <si>
    <t xml:space="preserve">Saved</t>
  </si>
  <si>
    <t xml:space="preserve">H4</t>
  </si>
  <si>
    <t xml:space="preserve">Sign-off form completed and saved</t>
  </si>
  <si>
    <t xml:space="preserve">Complete qa/QA_Signoff_Template.docx, sign it, and save it (and a PDF) in the review/ folder.</t>
  </si>
  <si>
    <t xml:space="preserve">Signed and saved</t>
  </si>
  <si>
    <t xml:space="preserve">H5</t>
  </si>
  <si>
    <t xml:space="preserve">Re-run folder submitted</t>
  </si>
  <si>
    <t xml:space="preserve">Submit the qa/reruns/&lt;date&gt;_&lt;initials&gt;/ folder to the project (pull request or ZIP to the author).</t>
  </si>
  <si>
    <t xml:space="preserve">qa/README.md, step 9</t>
  </si>
  <si>
    <t xml:space="preserve">Submitted; date recorded</t>
  </si>
  <si>
    <t xml:space="preserve">Run log</t>
  </si>
  <si>
    <t xml:space="preserve">One row per run folder in start-here/logs/ (copy from RERUN_SUMMARY.md and run_log.txt). Duration is calculated.</t>
  </si>
  <si>
    <t xml:space="preserve">Run folder name</t>
  </si>
  <si>
    <t xml:space="preserve">Run type</t>
  </si>
  <si>
    <t xml:space="preserve">Stages run</t>
  </si>
  <si>
    <t xml:space="preserve">Started (YYYY-MM-DD HH:MM)</t>
  </si>
  <si>
    <t xml:space="preserve">Finished (YYYY-MM-DD HH:MM)</t>
  </si>
  <si>
    <t xml:space="preserve">Duration (h:mm)</t>
  </si>
  <si>
    <t xml:space="preserve">Outcome</t>
  </si>
  <si>
    <t xml:space="preserve">Result check</t>
  </si>
  <si>
    <t xml:space="preserve">run_2026-10-21_093000_quick (EXAMPLE: replace)</t>
  </si>
  <si>
    <t xml:space="preserve">Quick trial</t>
  </si>
  <si>
    <t xml:space="preserve">1-2</t>
  </si>
  <si>
    <t xml:space="preserve">Finished</t>
  </si>
  <si>
    <t xml:space="preserve">N/A (trial)</t>
  </si>
  <si>
    <t xml:space="preserve">Example row showing the format; overwrite it with your first run.</t>
  </si>
  <si>
    <t xml:space="preserve">Stage run times (full replication)</t>
  </si>
  <si>
    <t xml:space="preserve">Stage</t>
  </si>
  <si>
    <t xml:space="preserve">Description</t>
  </si>
  <si>
    <t xml:space="preserve">Published time (2 cores, 8 GB)</t>
  </si>
  <si>
    <t xml:space="preserve">Your time (h:mm:ss)</t>
  </si>
  <si>
    <t xml:space="preserve">Build the synthetic populations</t>
  </si>
  <si>
    <t xml:space="preserve">Estimate: parametric-rate bootstrap (reported)</t>
  </si>
  <si>
    <t xml:space="preserve">Estimate: fixed-rate bootstrap (comparison)</t>
  </si>
  <si>
    <t xml:space="preserve">Part D pre-IRA reference</t>
  </si>
  <si>
    <t xml:space="preserve">Join estimates to the truth</t>
  </si>
  <si>
    <t xml:space="preserve">Manuscript tables and figures</t>
  </si>
  <si>
    <t xml:space="preserve">Automated tests</t>
  </si>
  <si>
    <t xml:space="preserve">Published times: measured on the author's test re-run, 2026-10-20 (start-here/README.md, step 7). Enter your times from run_log.txt ('Stage N finished in ...').</t>
  </si>
  <si>
    <t xml:space="preserve">Issues log</t>
  </si>
  <si>
    <t xml:space="preserve">One row per problem found. Use the ID (I-01, I-02, ...) in the Checklist's Issue ID column.</t>
  </si>
  <si>
    <t xml:space="preserve">Date found</t>
  </si>
  <si>
    <t xml:space="preserve">Checklist ID</t>
  </si>
  <si>
    <t xml:space="preserve">File / location</t>
  </si>
  <si>
    <t xml:space="preserve">How found</t>
  </si>
  <si>
    <t xml:space="preserve">Resolution</t>
  </si>
  <si>
    <t xml:space="preserve">Date resolved</t>
  </si>
  <si>
    <t xml:space="preserve">Resolved by</t>
  </si>
  <si>
    <t xml:space="preserve">I-01 (EXAMPLE)</t>
  </si>
  <si>
    <t xml:space="preserve">Part C errors/config.yaml design block lists 1,500 enrollees per stratum; the estimation uses 330 per tercile (990).</t>
  </si>
  <si>
    <t xml:space="preserve">part-c-ipm/errors/config.yaml (design: strata)</t>
  </si>
  <si>
    <t xml:space="preserve">Code review</t>
  </si>
  <si>
    <t xml:space="preserve">Metadata only (written to design.yaml); no result affected. Author to correct the description.</t>
  </si>
  <si>
    <t xml:space="preserve">Severity: Critical = a reported result is wrong or cannot be reproduced. Major = an assumption or method differs from its description in a way that could change a result. Minor = documentation or labeling error with no effect on results. Note = suggestion. Status 'Accepted' = left open by agreement, explained in Resolution. Row 5 is an example (a real discrepancy, also listed as Checklist C21). If you confirm it, delete '(EXAMPLE)' from its ID so it is counted; otherwise overwrite the row.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</si>
</sst>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yyyy\-mm\-dd"/>
    <numFmt numFmtId="167" formatCode="yyyy\-mm\-dd\ hh:mm"/>
    <numFmt numFmtId="168" formatCode="[h]:mm"/>
    <numFmt numFmtId="169" formatCode="[h]:mm:ss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  <font>
      <i val="true"/>
      <sz val="10"/>
      <color rgb="FF7F7F7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5.05" hidden="false" customHeight="false" outlineLevel="0" collapsed="false">
      <c r="A4" s="3" t="s">
        <v>2</v>
      </c>
      <c r="B4" s="4" t="s">
        <v>3</v>
      </c>
    </row>
    <row r="5" customFormat="false" ht="23.85" hidden="false" customHeight="false" outlineLevel="0" collapsed="false">
      <c r="A5" s="3" t="s">
        <v>4</v>
      </c>
      <c r="B5" s="4" t="s">
        <v>5</v>
      </c>
    </row>
    <row r="6" customFormat="false" ht="23.85" hidden="false" customHeight="false" outlineLevel="0" collapsed="false">
      <c r="A6" s="3" t="s">
        <v>6</v>
      </c>
      <c r="B6" s="4" t="s">
        <v>7</v>
      </c>
    </row>
    <row r="7" customFormat="false" ht="23.8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23.85" hidden="false" customHeight="false" outlineLevel="0" collapsed="false">
      <c r="A9" s="3" t="s">
        <v>12</v>
      </c>
      <c r="B9" s="4" t="s">
        <v>13</v>
      </c>
    </row>
    <row r="10" customFormat="false" ht="23.85" hidden="false" customHeight="false" outlineLevel="0" collapsed="false">
      <c r="A10" s="3" t="s">
        <v>14</v>
      </c>
      <c r="B10" s="4" t="s">
        <v>15</v>
      </c>
    </row>
    <row r="11" customFormat="false" ht="23.85" hidden="false" customHeight="false" outlineLevel="0" collapsed="false">
      <c r="A11" s="3" t="s">
        <v>16</v>
      </c>
      <c r="B11" s="4" t="s">
        <v>17</v>
      </c>
    </row>
    <row r="12" customFormat="false" ht="23.85" hidden="false" customHeight="false" outlineLevel="0" collapsed="false">
      <c r="A12" s="3" t="s">
        <v>18</v>
      </c>
      <c r="B12" s="4" t="s">
        <v>19</v>
      </c>
    </row>
    <row r="13" customFormat="false" ht="23.85" hidden="false" customHeight="false" outlineLevel="0" collapsed="false">
      <c r="A13" s="3" t="s">
        <v>20</v>
      </c>
      <c r="B13" s="4" t="s">
        <v>21</v>
      </c>
    </row>
    <row r="15" customFormat="false" ht="15" hidden="false" customHeight="false" outlineLevel="0" collapsed="false">
      <c r="A15" s="5" t="s">
        <v>22</v>
      </c>
    </row>
    <row r="16" customFormat="false" ht="15" hidden="false" customHeight="false" outlineLevel="0" collapsed="false">
      <c r="A16" s="6" t="s">
        <v>23</v>
      </c>
      <c r="B16" s="7" t="s">
        <v>24</v>
      </c>
    </row>
    <row r="17" customFormat="false" ht="15" hidden="false" customHeight="false" outlineLevel="0" collapsed="false">
      <c r="A17" s="8" t="s">
        <v>25</v>
      </c>
      <c r="B17" s="7" t="s">
        <v>26</v>
      </c>
    </row>
    <row r="18" customFormat="false" ht="15" hidden="false" customHeight="false" outlineLevel="0" collapsed="false">
      <c r="A18" s="7" t="s">
        <v>27</v>
      </c>
      <c r="B18" s="7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9"/>
    <col collapsed="false" customWidth="true" hidden="false" outlineLevel="0" max="6" min="6" style="0" width="12"/>
    <col collapsed="false" customWidth="true" hidden="false" outlineLevel="0" max="7" min="7" style="0" width="13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2" t="s">
        <v>30</v>
      </c>
    </row>
    <row r="4" customFormat="false" ht="15" hidden="false" customHeight="false" outlineLevel="0" collapsed="false">
      <c r="A4" s="9" t="s">
        <v>31</v>
      </c>
      <c r="B4" s="9" t="s">
        <v>32</v>
      </c>
      <c r="C4" s="9" t="s">
        <v>33</v>
      </c>
      <c r="D4" s="9" t="s">
        <v>34</v>
      </c>
      <c r="E4" s="9" t="s">
        <v>35</v>
      </c>
      <c r="F4" s="9" t="s">
        <v>36</v>
      </c>
      <c r="G4" s="9" t="s">
        <v>37</v>
      </c>
    </row>
    <row r="5" customFormat="false" ht="15" hidden="false" customHeight="false" outlineLevel="0" collapsed="false">
      <c r="A5" s="10" t="s">
        <v>38</v>
      </c>
      <c r="B5" s="10" t="n">
        <f aca="false">COUNTIF(Checklist!$B$6:$B$102,"Setup and independence")</f>
        <v>5</v>
      </c>
      <c r="C5" s="10" t="n">
        <f aca="false">COUNTIFS(Checklist!$B$6:$B$102,"Setup and independence",Checklist!$G$6:$G$102,"Pass")</f>
        <v>0</v>
      </c>
      <c r="D5" s="10" t="n">
        <f aca="false">COUNTIFS(Checklist!$B$6:$B$102,"Setup and independence",Checklist!$G$6:$G$102,"Fail")</f>
        <v>0</v>
      </c>
      <c r="E5" s="10" t="n">
        <f aca="false">COUNTIFS(Checklist!$B$6:$B$102,"Setup and independence",Checklist!$G$6:$G$102,"N/A")</f>
        <v>0</v>
      </c>
      <c r="F5" s="10" t="n">
        <f aca="false">COUNTIFS(Checklist!$B$6:$B$102,"Setup and independence",Checklist!$G$6:$G$102,"Not started")</f>
        <v>5</v>
      </c>
      <c r="G5" s="11" t="n">
        <f aca="false">IF(B5=0,0,(C5+D5+E5)/B5)</f>
        <v>0</v>
      </c>
    </row>
    <row r="6" customFormat="false" ht="15" hidden="false" customHeight="false" outlineLevel="0" collapsed="false">
      <c r="A6" s="10" t="s">
        <v>39</v>
      </c>
      <c r="B6" s="10" t="n">
        <f aca="false">COUNTIF(Checklist!$B$6:$B$102,"Re-run with date-stamped logs")</f>
        <v>14</v>
      </c>
      <c r="C6" s="10" t="n">
        <f aca="false">COUNTIFS(Checklist!$B$6:$B$102,"Re-run with date-stamped logs",Checklist!$G$6:$G$102,"Pass")</f>
        <v>0</v>
      </c>
      <c r="D6" s="10" t="n">
        <f aca="false">COUNTIFS(Checklist!$B$6:$B$102,"Re-run with date-stamped logs",Checklist!$G$6:$G$102,"Fail")</f>
        <v>0</v>
      </c>
      <c r="E6" s="10" t="n">
        <f aca="false">COUNTIFS(Checklist!$B$6:$B$102,"Re-run with date-stamped logs",Checklist!$G$6:$G$102,"N/A")</f>
        <v>0</v>
      </c>
      <c r="F6" s="10" t="n">
        <f aca="false">COUNTIFS(Checklist!$B$6:$B$102,"Re-run with date-stamped logs",Checklist!$G$6:$G$102,"Not started")</f>
        <v>14</v>
      </c>
      <c r="G6" s="11" t="n">
        <f aca="false">IF(B6=0,0,(C6+D6+E6)/B6)</f>
        <v>0</v>
      </c>
    </row>
    <row r="7" customFormat="false" ht="15" hidden="false" customHeight="false" outlineLevel="0" collapsed="false">
      <c r="A7" s="10" t="s">
        <v>40</v>
      </c>
      <c r="B7" s="10" t="n">
        <f aca="false">COUNTIF(Checklist!$B$6:$B$102,"Code review: key assumptions")</f>
        <v>37</v>
      </c>
      <c r="C7" s="10" t="n">
        <f aca="false">COUNTIFS(Checklist!$B$6:$B$102,"Code review: key assumptions",Checklist!$G$6:$G$102,"Pass")</f>
        <v>0</v>
      </c>
      <c r="D7" s="10" t="n">
        <f aca="false">COUNTIFS(Checklist!$B$6:$B$102,"Code review: key assumptions",Checklist!$G$6:$G$102,"Fail")</f>
        <v>0</v>
      </c>
      <c r="E7" s="10" t="n">
        <f aca="false">COUNTIFS(Checklist!$B$6:$B$102,"Code review: key assumptions",Checklist!$G$6:$G$102,"N/A")</f>
        <v>0</v>
      </c>
      <c r="F7" s="10" t="n">
        <f aca="false">COUNTIFS(Checklist!$B$6:$B$102,"Code review: key assumptions",Checklist!$G$6:$G$102,"Not started")</f>
        <v>37</v>
      </c>
      <c r="G7" s="11" t="n">
        <f aca="false">IF(B7=0,0,(C7+D7+E7)/B7)</f>
        <v>0</v>
      </c>
    </row>
    <row r="8" customFormat="false" ht="15" hidden="false" customHeight="false" outlineLevel="0" collapsed="false">
      <c r="A8" s="10" t="s">
        <v>41</v>
      </c>
      <c r="B8" s="10" t="n">
        <f aca="false">COUNTIF(Checklist!$B$6:$B$102,"Results: represented correctly")</f>
        <v>15</v>
      </c>
      <c r="C8" s="10" t="n">
        <f aca="false">COUNTIFS(Checklist!$B$6:$B$102,"Results: represented correctly",Checklist!$G$6:$G$102,"Pass")</f>
        <v>0</v>
      </c>
      <c r="D8" s="10" t="n">
        <f aca="false">COUNTIFS(Checklist!$B$6:$B$102,"Results: represented correctly",Checklist!$G$6:$G$102,"Fail")</f>
        <v>0</v>
      </c>
      <c r="E8" s="10" t="n">
        <f aca="false">COUNTIFS(Checklist!$B$6:$B$102,"Results: represented correctly",Checklist!$G$6:$G$102,"N/A")</f>
        <v>0</v>
      </c>
      <c r="F8" s="10" t="n">
        <f aca="false">COUNTIFS(Checklist!$B$6:$B$102,"Results: represented correctly",Checklist!$G$6:$G$102,"Not started")</f>
        <v>15</v>
      </c>
      <c r="G8" s="11" t="n">
        <f aca="false">IF(B8=0,0,(C8+D8+E8)/B8)</f>
        <v>0</v>
      </c>
    </row>
    <row r="9" customFormat="false" ht="15" hidden="false" customHeight="false" outlineLevel="0" collapsed="false">
      <c r="A9" s="10" t="s">
        <v>42</v>
      </c>
      <c r="B9" s="10" t="n">
        <f aca="false">COUNTIF(Checklist!$B$6:$B$102,"Tests and independent checks")</f>
        <v>5</v>
      </c>
      <c r="C9" s="10" t="n">
        <f aca="false">COUNTIFS(Checklist!$B$6:$B$102,"Tests and independent checks",Checklist!$G$6:$G$102,"Pass")</f>
        <v>0</v>
      </c>
      <c r="D9" s="10" t="n">
        <f aca="false">COUNTIFS(Checklist!$B$6:$B$102,"Tests and independent checks",Checklist!$G$6:$G$102,"Fail")</f>
        <v>0</v>
      </c>
      <c r="E9" s="10" t="n">
        <f aca="false">COUNTIFS(Checklist!$B$6:$B$102,"Tests and independent checks",Checklist!$G$6:$G$102,"N/A")</f>
        <v>0</v>
      </c>
      <c r="F9" s="10" t="n">
        <f aca="false">COUNTIFS(Checklist!$B$6:$B$102,"Tests and independent checks",Checklist!$G$6:$G$102,"Not started")</f>
        <v>5</v>
      </c>
      <c r="G9" s="11" t="n">
        <f aca="false">IF(B9=0,0,(C9+D9+E9)/B9)</f>
        <v>0</v>
      </c>
    </row>
    <row r="10" customFormat="false" ht="15" hidden="false" customHeight="false" outlineLevel="0" collapsed="false">
      <c r="A10" s="10" t="s">
        <v>43</v>
      </c>
      <c r="B10" s="10" t="n">
        <f aca="false">COUNTIF(Checklist!$B$6:$B$102,"Data security and disclosure")</f>
        <v>5</v>
      </c>
      <c r="C10" s="10" t="n">
        <f aca="false">COUNTIFS(Checklist!$B$6:$B$102,"Data security and disclosure",Checklist!$G$6:$G$102,"Pass")</f>
        <v>0</v>
      </c>
      <c r="D10" s="10" t="n">
        <f aca="false">COUNTIFS(Checklist!$B$6:$B$102,"Data security and disclosure",Checklist!$G$6:$G$102,"Fail")</f>
        <v>0</v>
      </c>
      <c r="E10" s="10" t="n">
        <f aca="false">COUNTIFS(Checklist!$B$6:$B$102,"Data security and disclosure",Checklist!$G$6:$G$102,"N/A")</f>
        <v>0</v>
      </c>
      <c r="F10" s="10" t="n">
        <f aca="false">COUNTIFS(Checklist!$B$6:$B$102,"Data security and disclosure",Checklist!$G$6:$G$102,"Not started")</f>
        <v>5</v>
      </c>
      <c r="G10" s="11" t="n">
        <f aca="false">IF(B10=0,0,(C10+D10+E10)/B10)</f>
        <v>0</v>
      </c>
    </row>
    <row r="11" customFormat="false" ht="15" hidden="false" customHeight="false" outlineLevel="0" collapsed="false">
      <c r="A11" s="10" t="s">
        <v>44</v>
      </c>
      <c r="B11" s="10" t="n">
        <f aca="false">COUNTIF(Checklist!$B$6:$B$102,"Documentation and reproducibility")</f>
        <v>4</v>
      </c>
      <c r="C11" s="10" t="n">
        <f aca="false">COUNTIFS(Checklist!$B$6:$B$102,"Documentation and reproducibility",Checklist!$G$6:$G$102,"Pass")</f>
        <v>0</v>
      </c>
      <c r="D11" s="10" t="n">
        <f aca="false">COUNTIFS(Checklist!$B$6:$B$102,"Documentation and reproducibility",Checklist!$G$6:$G$102,"Fail")</f>
        <v>0</v>
      </c>
      <c r="E11" s="10" t="n">
        <f aca="false">COUNTIFS(Checklist!$B$6:$B$102,"Documentation and reproducibility",Checklist!$G$6:$G$102,"N/A")</f>
        <v>0</v>
      </c>
      <c r="F11" s="10" t="n">
        <f aca="false">COUNTIFS(Checklist!$B$6:$B$102,"Documentation and reproducibility",Checklist!$G$6:$G$102,"Not started")</f>
        <v>4</v>
      </c>
      <c r="G11" s="11" t="n">
        <f aca="false">IF(B11=0,0,(C11+D11+E11)/B11)</f>
        <v>0</v>
      </c>
    </row>
    <row r="12" customFormat="false" ht="15" hidden="false" customHeight="false" outlineLevel="0" collapsed="false">
      <c r="A12" s="10" t="s">
        <v>45</v>
      </c>
      <c r="B12" s="10" t="n">
        <f aca="false">COUNTIF(Checklist!$B$6:$B$102,"Close-out and sign-off")</f>
        <v>5</v>
      </c>
      <c r="C12" s="10" t="n">
        <f aca="false">COUNTIFS(Checklist!$B$6:$B$102,"Close-out and sign-off",Checklist!$G$6:$G$102,"Pass")</f>
        <v>0</v>
      </c>
      <c r="D12" s="10" t="n">
        <f aca="false">COUNTIFS(Checklist!$B$6:$B$102,"Close-out and sign-off",Checklist!$G$6:$G$102,"Fail")</f>
        <v>0</v>
      </c>
      <c r="E12" s="10" t="n">
        <f aca="false">COUNTIFS(Checklist!$B$6:$B$102,"Close-out and sign-off",Checklist!$G$6:$G$102,"N/A")</f>
        <v>0</v>
      </c>
      <c r="F12" s="10" t="n">
        <f aca="false">COUNTIFS(Checklist!$B$6:$B$102,"Close-out and sign-off",Checklist!$G$6:$G$102,"Not started")</f>
        <v>5</v>
      </c>
      <c r="G12" s="11" t="n">
        <f aca="false">IF(B12=0,0,(C12+D12+E12)/B12)</f>
        <v>0</v>
      </c>
    </row>
    <row r="13" customFormat="false" ht="15" hidden="false" customHeight="false" outlineLevel="0" collapsed="false">
      <c r="A13" s="5" t="s">
        <v>46</v>
      </c>
      <c r="B13" s="5" t="n">
        <f aca="false">SUM(B5:B12)</f>
        <v>90</v>
      </c>
      <c r="C13" s="5" t="n">
        <f aca="false">SUM(C5:C12)</f>
        <v>0</v>
      </c>
      <c r="D13" s="5" t="n">
        <f aca="false">SUM(D5:D12)</f>
        <v>0</v>
      </c>
      <c r="E13" s="5" t="n">
        <f aca="false">SUM(E5:E12)</f>
        <v>0</v>
      </c>
      <c r="F13" s="5" t="n">
        <f aca="false">SUM(F5:F12)</f>
        <v>90</v>
      </c>
      <c r="G13" s="12" t="n">
        <f aca="false">IF(B13=0,0,(C13+D13+E13)/B13)</f>
        <v>0</v>
      </c>
    </row>
    <row r="15" customFormat="false" ht="15" hidden="false" customHeight="false" outlineLevel="0" collapsed="false">
      <c r="A15" s="13" t="s">
        <v>47</v>
      </c>
    </row>
    <row r="16" customFormat="false" ht="15" hidden="false" customHeight="false" outlineLevel="0" collapsed="false">
      <c r="A16" s="9" t="s">
        <v>48</v>
      </c>
      <c r="B16" s="9" t="s">
        <v>49</v>
      </c>
      <c r="C16" s="9" t="s">
        <v>50</v>
      </c>
      <c r="D16" s="9" t="s">
        <v>51</v>
      </c>
      <c r="E16" s="9" t="s">
        <v>52</v>
      </c>
    </row>
    <row r="17" customFormat="false" ht="15" hidden="false" customHeight="false" outlineLevel="0" collapsed="false">
      <c r="A17" s="7" t="s">
        <v>53</v>
      </c>
      <c r="B17" s="7" t="n">
        <f aca="false">COUNTIFS('Issues log'!$D$5:$D$39,"Critical",'Issues log'!$A$5:$A$39,"&lt;&gt;*EXAMPLE*")</f>
        <v>0</v>
      </c>
      <c r="C17" s="7" t="n">
        <f aca="false">COUNTIFS('Issues log'!$D$5:$D$39,"Critical",'Issues log'!$H$5:$H$39,"Open",'Issues log'!$A$5:$A$39,"&lt;&gt;*EXAMPLE*")</f>
        <v>0</v>
      </c>
      <c r="D17" s="7" t="n">
        <f aca="false">COUNTIFS('Issues log'!$D$5:$D$39,"Critical",'Issues log'!$H$5:$H$39,"Resolved",'Issues log'!$A$5:$A$39,"&lt;&gt;*EXAMPLE*")</f>
        <v>0</v>
      </c>
      <c r="E17" s="7" t="n">
        <f aca="false">COUNTIFS('Issues log'!$D$5:$D$39,"Critical",'Issues log'!$H$5:$H$39,"Accepted",'Issues log'!$A$5:$A$39,"&lt;&gt;*EXAMPLE*")</f>
        <v>0</v>
      </c>
    </row>
    <row r="18" customFormat="false" ht="15" hidden="false" customHeight="false" outlineLevel="0" collapsed="false">
      <c r="A18" s="7" t="s">
        <v>54</v>
      </c>
      <c r="B18" s="7" t="n">
        <f aca="false">COUNTIFS('Issues log'!$D$5:$D$39,"Major",'Issues log'!$A$5:$A$39,"&lt;&gt;*EXAMPLE*")</f>
        <v>0</v>
      </c>
      <c r="C18" s="7" t="n">
        <f aca="false">COUNTIFS('Issues log'!$D$5:$D$39,"Major",'Issues log'!$H$5:$H$39,"Open",'Issues log'!$A$5:$A$39,"&lt;&gt;*EXAMPLE*")</f>
        <v>0</v>
      </c>
      <c r="D18" s="7" t="n">
        <f aca="false">COUNTIFS('Issues log'!$D$5:$D$39,"Major",'Issues log'!$H$5:$H$39,"Resolved",'Issues log'!$A$5:$A$39,"&lt;&gt;*EXAMPLE*")</f>
        <v>0</v>
      </c>
      <c r="E18" s="7" t="n">
        <f aca="false">COUNTIFS('Issues log'!$D$5:$D$39,"Major",'Issues log'!$H$5:$H$39,"Accepted",'Issues log'!$A$5:$A$39,"&lt;&gt;*EXAMPLE*")</f>
        <v>0</v>
      </c>
    </row>
    <row r="19" customFormat="false" ht="15" hidden="false" customHeight="false" outlineLevel="0" collapsed="false">
      <c r="A19" s="7" t="s">
        <v>55</v>
      </c>
      <c r="B19" s="7" t="n">
        <f aca="false">COUNTIFS('Issues log'!$D$5:$D$39,"Minor",'Issues log'!$A$5:$A$39,"&lt;&gt;*EXAMPLE*")</f>
        <v>0</v>
      </c>
      <c r="C19" s="7" t="n">
        <f aca="false">COUNTIFS('Issues log'!$D$5:$D$39,"Minor",'Issues log'!$H$5:$H$39,"Open",'Issues log'!$A$5:$A$39,"&lt;&gt;*EXAMPLE*")</f>
        <v>0</v>
      </c>
      <c r="D19" s="7" t="n">
        <f aca="false">COUNTIFS('Issues log'!$D$5:$D$39,"Minor",'Issues log'!$H$5:$H$39,"Resolved",'Issues log'!$A$5:$A$39,"&lt;&gt;*EXAMPLE*")</f>
        <v>0</v>
      </c>
      <c r="E19" s="7" t="n">
        <f aca="false">COUNTIFS('Issues log'!$D$5:$D$39,"Minor",'Issues log'!$H$5:$H$39,"Accepted",'Issues log'!$A$5:$A$39,"&lt;&gt;*EXAMPLE*")</f>
        <v>0</v>
      </c>
    </row>
    <row r="20" customFormat="false" ht="15" hidden="false" customHeight="false" outlineLevel="0" collapsed="false">
      <c r="A20" s="7" t="s">
        <v>56</v>
      </c>
      <c r="B20" s="7" t="n">
        <f aca="false">COUNTIFS('Issues log'!$D$5:$D$39,"Note",'Issues log'!$A$5:$A$39,"&lt;&gt;*EXAMPLE*")</f>
        <v>0</v>
      </c>
      <c r="C20" s="7" t="n">
        <f aca="false">COUNTIFS('Issues log'!$D$5:$D$39,"Note",'Issues log'!$H$5:$H$39,"Open",'Issues log'!$A$5:$A$39,"&lt;&gt;*EXAMPLE*")</f>
        <v>0</v>
      </c>
      <c r="D20" s="7" t="n">
        <f aca="false">COUNTIFS('Issues log'!$D$5:$D$39,"Note",'Issues log'!$H$5:$H$39,"Resolved",'Issues log'!$A$5:$A$39,"&lt;&gt;*EXAMPLE*")</f>
        <v>0</v>
      </c>
      <c r="E20" s="7" t="n">
        <f aca="false">COUNTIFS('Issues log'!$D$5:$D$39,"Note",'Issues log'!$H$5:$H$39,"Accepted",'Issues log'!$A$5:$A$39,"&lt;&gt;*EXAMPLE*")</f>
        <v>0</v>
      </c>
    </row>
    <row r="22" customFormat="false" ht="15" hidden="false" customHeight="false" outlineLevel="0" collapsed="false">
      <c r="A22" s="7" t="s">
        <v>57</v>
      </c>
      <c r="B22" s="7" t="n">
        <f aca="false">COUNTIFS(Checklist!$G$6:$G$102,"Fail",Checklist!$K$6:$K$102,"")</f>
        <v>0</v>
      </c>
    </row>
    <row r="24" customFormat="false" ht="15" hidden="false" customHeight="false" outlineLevel="0" collapsed="false">
      <c r="A24" s="14" t="s">
        <v>58</v>
      </c>
      <c r="B24" s="15" t="str">
        <f aca="false">IF(AND(F13=0,C17=0,C18=0,B22=0),"YES: every task checked; no open Critical or Major issues","NOT YET: "&amp;F13&amp;" task(s) not started, "&amp;(C17+C18)&amp;" open Critical/Major issue(s), "&amp;B22&amp;" Fail row(s) without an Issue ID")</f>
        <v>NOT YET: 90 task(s) not started, 0 open Critical/Major issue(s), 0 Fail row(s) without an Issue ID</v>
      </c>
      <c r="C24" s="15"/>
      <c r="D24" s="15"/>
      <c r="E24" s="15"/>
      <c r="F24" s="15"/>
      <c r="G24" s="15"/>
    </row>
    <row r="25" customFormat="false" ht="15" hidden="false" customHeight="false" outlineLevel="0" collapsed="false">
      <c r="A25" s="2" t="s">
        <v>59</v>
      </c>
    </row>
  </sheetData>
  <mergeCells count="1">
    <mergeCell ref="B24:G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60"/>
  </cols>
  <sheetData>
    <row r="1" customFormat="false" ht="17.35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61</v>
      </c>
    </row>
    <row r="3" customFormat="false" ht="15" hidden="false" customHeight="false" outlineLevel="0" collapsed="false">
      <c r="A3" s="16" t="s">
        <v>62</v>
      </c>
      <c r="B3" s="16" t="s">
        <v>63</v>
      </c>
      <c r="C3" s="16" t="s">
        <v>64</v>
      </c>
    </row>
    <row r="4" customFormat="false" ht="15" hidden="false" customHeight="false" outlineLevel="0" collapsed="false">
      <c r="A4" s="17" t="s">
        <v>65</v>
      </c>
      <c r="B4" s="8"/>
      <c r="C4" s="8"/>
    </row>
    <row r="5" customFormat="false" ht="15" hidden="false" customHeight="false" outlineLevel="0" collapsed="false">
      <c r="A5" s="4" t="s">
        <v>66</v>
      </c>
      <c r="B5" s="18"/>
      <c r="C5" s="19"/>
    </row>
    <row r="6" customFormat="false" ht="15" hidden="false" customHeight="false" outlineLevel="0" collapsed="false">
      <c r="A6" s="4" t="s">
        <v>67</v>
      </c>
      <c r="B6" s="18"/>
      <c r="C6" s="19"/>
    </row>
    <row r="7" customFormat="false" ht="15" hidden="false" customHeight="false" outlineLevel="0" collapsed="false">
      <c r="A7" s="4" t="s">
        <v>68</v>
      </c>
      <c r="B7" s="18"/>
      <c r="C7" s="19"/>
    </row>
    <row r="8" customFormat="false" ht="15" hidden="false" customHeight="false" outlineLevel="0" collapsed="false">
      <c r="A8" s="4" t="s">
        <v>69</v>
      </c>
      <c r="B8" s="18"/>
      <c r="C8" s="19"/>
    </row>
    <row r="9" customFormat="false" ht="15" hidden="false" customHeight="false" outlineLevel="0" collapsed="false">
      <c r="A9" s="4" t="s">
        <v>70</v>
      </c>
      <c r="B9" s="18"/>
      <c r="C9" s="19"/>
    </row>
    <row r="10" customFormat="false" ht="23.85" hidden="false" customHeight="false" outlineLevel="0" collapsed="false">
      <c r="A10" s="4" t="s">
        <v>71</v>
      </c>
      <c r="B10" s="18"/>
      <c r="C10" s="19" t="s">
        <v>72</v>
      </c>
    </row>
    <row r="11" customFormat="false" ht="15" hidden="false" customHeight="false" outlineLevel="0" collapsed="false">
      <c r="A11" s="4" t="s">
        <v>73</v>
      </c>
      <c r="B11" s="18"/>
      <c r="C11" s="19"/>
    </row>
    <row r="12" customFormat="false" ht="15" hidden="false" customHeight="false" outlineLevel="0" collapsed="false">
      <c r="A12" s="17" t="s">
        <v>74</v>
      </c>
      <c r="B12" s="8"/>
      <c r="C12" s="8"/>
    </row>
    <row r="13" customFormat="false" ht="15" hidden="false" customHeight="false" outlineLevel="0" collapsed="false">
      <c r="A13" s="4" t="s">
        <v>75</v>
      </c>
      <c r="B13" s="18"/>
      <c r="C13" s="19"/>
    </row>
    <row r="14" customFormat="false" ht="15" hidden="false" customHeight="false" outlineLevel="0" collapsed="false">
      <c r="A14" s="4" t="s">
        <v>76</v>
      </c>
      <c r="B14" s="18"/>
      <c r="C14" s="19"/>
    </row>
    <row r="15" customFormat="false" ht="23.85" hidden="false" customHeight="false" outlineLevel="0" collapsed="false">
      <c r="A15" s="4" t="s">
        <v>77</v>
      </c>
      <c r="B15" s="18"/>
      <c r="C15" s="19" t="s">
        <v>78</v>
      </c>
    </row>
    <row r="16" customFormat="false" ht="23.85" hidden="false" customHeight="false" outlineLevel="0" collapsed="false">
      <c r="A16" s="4" t="s">
        <v>79</v>
      </c>
      <c r="B16" s="18"/>
      <c r="C16" s="19"/>
    </row>
    <row r="17" customFormat="false" ht="15" hidden="false" customHeight="false" outlineLevel="0" collapsed="false">
      <c r="A17" s="4" t="s">
        <v>80</v>
      </c>
      <c r="B17" s="18"/>
      <c r="C17" s="19" t="s">
        <v>81</v>
      </c>
    </row>
    <row r="18" customFormat="false" ht="23.85" hidden="false" customHeight="false" outlineLevel="0" collapsed="false">
      <c r="A18" s="17" t="s">
        <v>82</v>
      </c>
      <c r="B18" s="8"/>
      <c r="C18" s="8"/>
    </row>
    <row r="19" customFormat="false" ht="23.85" hidden="false" customHeight="false" outlineLevel="0" collapsed="false">
      <c r="A19" s="4" t="s">
        <v>83</v>
      </c>
      <c r="B19" s="18"/>
      <c r="C19" s="19"/>
    </row>
    <row r="20" customFormat="false" ht="15" hidden="false" customHeight="false" outlineLevel="0" collapsed="false">
      <c r="A20" s="4" t="s">
        <v>84</v>
      </c>
      <c r="B20" s="18"/>
      <c r="C20" s="19"/>
    </row>
    <row r="21" customFormat="false" ht="15" hidden="false" customHeight="false" outlineLevel="0" collapsed="false">
      <c r="A21" s="4" t="s">
        <v>85</v>
      </c>
      <c r="B21" s="18"/>
      <c r="C21" s="19"/>
    </row>
    <row r="22" customFormat="false" ht="15" hidden="false" customHeight="false" outlineLevel="0" collapsed="false">
      <c r="A22" s="4" t="s">
        <v>86</v>
      </c>
      <c r="B22" s="18"/>
      <c r="C22" s="19"/>
    </row>
    <row r="23" customFormat="false" ht="15" hidden="false" customHeight="false" outlineLevel="0" collapsed="false">
      <c r="A23" s="4" t="s">
        <v>87</v>
      </c>
      <c r="B23" s="18"/>
      <c r="C23" s="19"/>
    </row>
    <row r="24" customFormat="false" ht="15" hidden="false" customHeight="false" outlineLevel="0" collapsed="false">
      <c r="A24" s="4" t="s">
        <v>88</v>
      </c>
      <c r="B24" s="18"/>
      <c r="C24" s="19"/>
    </row>
    <row r="25" customFormat="false" ht="15" hidden="false" customHeight="false" outlineLevel="0" collapsed="false">
      <c r="A25" s="4" t="s">
        <v>89</v>
      </c>
      <c r="B25" s="18"/>
      <c r="C25" s="19"/>
    </row>
    <row r="26" customFormat="false" ht="15" hidden="false" customHeight="false" outlineLevel="0" collapsed="false">
      <c r="A26" s="17" t="s">
        <v>90</v>
      </c>
      <c r="B26" s="8"/>
      <c r="C26" s="8"/>
    </row>
    <row r="27" customFormat="false" ht="23.85" hidden="false" customHeight="false" outlineLevel="0" collapsed="false">
      <c r="A27" s="4" t="s">
        <v>91</v>
      </c>
      <c r="B27" s="18"/>
      <c r="C27" s="19"/>
    </row>
    <row r="28" customFormat="false" ht="23.85" hidden="false" customHeight="false" outlineLevel="0" collapsed="false">
      <c r="A28" s="4" t="s">
        <v>92</v>
      </c>
      <c r="B28" s="18"/>
      <c r="C28" s="19"/>
    </row>
    <row r="29" customFormat="false" ht="15" hidden="false" customHeight="false" outlineLevel="0" collapsed="false">
      <c r="A29" s="4" t="s">
        <v>93</v>
      </c>
      <c r="B29" s="18"/>
      <c r="C29" s="19"/>
    </row>
    <row r="30" customFormat="false" ht="15" hidden="false" customHeight="false" outlineLevel="0" collapsed="false">
      <c r="A30" s="4" t="s">
        <v>94</v>
      </c>
      <c r="B30" s="18"/>
      <c r="C30" s="19"/>
    </row>
    <row r="31" customFormat="false" ht="15" hidden="false" customHeight="false" outlineLevel="0" collapsed="false">
      <c r="A31" s="4" t="s">
        <v>95</v>
      </c>
      <c r="B31" s="18"/>
      <c r="C31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38"/>
    <col collapsed="false" customWidth="true" hidden="false" outlineLevel="0" max="4" min="4" style="0" width="60"/>
    <col collapsed="false" customWidth="true" hidden="false" outlineLevel="0" max="5" min="5" style="0" width="44"/>
    <col collapsed="false" customWidth="true" hidden="false" outlineLevel="0" max="6" min="6" style="0" width="36"/>
    <col collapsed="false" customWidth="true" hidden="false" outlineLevel="0" max="8" min="7" style="0" width="13"/>
    <col collapsed="false" customWidth="true" hidden="false" outlineLevel="0" max="9" min="9" style="0" width="9"/>
    <col collapsed="false" customWidth="true" hidden="false" outlineLevel="0" max="10" min="10" style="0" width="36"/>
    <col collapsed="false" customWidth="true" hidden="false" outlineLevel="0" max="11" min="11" style="0" width="10"/>
    <col collapsed="false" customWidth="true" hidden="false" outlineLevel="0" max="12" min="12" style="0" width="36"/>
  </cols>
  <sheetData>
    <row r="1" customFormat="false" ht="17.35" hidden="false" customHeight="false" outlineLevel="0" collapsed="false">
      <c r="A1" s="1" t="s">
        <v>96</v>
      </c>
    </row>
    <row r="2" customFormat="false" ht="15" hidden="false" customHeight="false" outlineLevel="0" collapsed="false">
      <c r="A2" s="2" t="s">
        <v>97</v>
      </c>
    </row>
    <row r="4" customFormat="false" ht="23.85" hidden="false" customHeight="false" outlineLevel="0" collapsed="false">
      <c r="A4" s="9" t="s">
        <v>98</v>
      </c>
      <c r="B4" s="9" t="s">
        <v>31</v>
      </c>
      <c r="C4" s="9" t="s">
        <v>99</v>
      </c>
      <c r="D4" s="9" t="s">
        <v>100</v>
      </c>
      <c r="E4" s="9" t="s">
        <v>101</v>
      </c>
      <c r="F4" s="9" t="s">
        <v>102</v>
      </c>
      <c r="G4" s="9" t="s">
        <v>103</v>
      </c>
      <c r="H4" s="9" t="s">
        <v>104</v>
      </c>
      <c r="I4" s="9" t="s">
        <v>105</v>
      </c>
      <c r="J4" s="9" t="s">
        <v>106</v>
      </c>
      <c r="K4" s="9" t="s">
        <v>107</v>
      </c>
      <c r="L4" s="9" t="s">
        <v>108</v>
      </c>
    </row>
    <row r="5" customFormat="false" ht="15" hidden="false" customHeight="false" outlineLevel="0" collapsed="false">
      <c r="A5" s="20" t="s">
        <v>38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</row>
    <row r="6" customFormat="false" ht="23.85" hidden="false" customHeight="false" outlineLevel="0" collapsed="false">
      <c r="A6" s="21" t="s">
        <v>109</v>
      </c>
      <c r="B6" s="21" t="s">
        <v>110</v>
      </c>
      <c r="C6" s="21" t="s">
        <v>111</v>
      </c>
      <c r="D6" s="21" t="s">
        <v>112</v>
      </c>
      <c r="E6" s="21" t="s">
        <v>113</v>
      </c>
      <c r="F6" s="21" t="s">
        <v>114</v>
      </c>
      <c r="G6" s="22" t="s">
        <v>36</v>
      </c>
      <c r="H6" s="23"/>
      <c r="I6" s="22"/>
      <c r="J6" s="22"/>
      <c r="K6" s="22"/>
      <c r="L6" s="22"/>
    </row>
    <row r="7" customFormat="false" ht="23.85" hidden="false" customHeight="false" outlineLevel="0" collapsed="false">
      <c r="A7" s="21" t="s">
        <v>115</v>
      </c>
      <c r="B7" s="21" t="s">
        <v>110</v>
      </c>
      <c r="C7" s="21" t="s">
        <v>116</v>
      </c>
      <c r="D7" s="21" t="s">
        <v>117</v>
      </c>
      <c r="E7" s="21" t="s">
        <v>118</v>
      </c>
      <c r="F7" s="21" t="s">
        <v>119</v>
      </c>
      <c r="G7" s="22" t="s">
        <v>36</v>
      </c>
      <c r="H7" s="23"/>
      <c r="I7" s="22"/>
      <c r="J7" s="22"/>
      <c r="K7" s="22"/>
      <c r="L7" s="22"/>
    </row>
    <row r="8" customFormat="false" ht="35.05" hidden="false" customHeight="false" outlineLevel="0" collapsed="false">
      <c r="A8" s="21" t="s">
        <v>120</v>
      </c>
      <c r="B8" s="21" t="s">
        <v>110</v>
      </c>
      <c r="C8" s="21" t="s">
        <v>121</v>
      </c>
      <c r="D8" s="21" t="s">
        <v>122</v>
      </c>
      <c r="E8" s="21" t="s">
        <v>123</v>
      </c>
      <c r="F8" s="21" t="s">
        <v>124</v>
      </c>
      <c r="G8" s="22" t="s">
        <v>36</v>
      </c>
      <c r="H8" s="23"/>
      <c r="I8" s="22"/>
      <c r="J8" s="22"/>
      <c r="K8" s="22"/>
      <c r="L8" s="22"/>
    </row>
    <row r="9" customFormat="false" ht="23.85" hidden="false" customHeight="false" outlineLevel="0" collapsed="false">
      <c r="A9" s="21" t="s">
        <v>125</v>
      </c>
      <c r="B9" s="21" t="s">
        <v>110</v>
      </c>
      <c r="C9" s="21" t="s">
        <v>126</v>
      </c>
      <c r="D9" s="21" t="s">
        <v>127</v>
      </c>
      <c r="E9" s="21" t="s">
        <v>128</v>
      </c>
      <c r="F9" s="21" t="s">
        <v>129</v>
      </c>
      <c r="G9" s="22" t="s">
        <v>36</v>
      </c>
      <c r="H9" s="23"/>
      <c r="I9" s="22"/>
      <c r="J9" s="22"/>
      <c r="K9" s="22"/>
      <c r="L9" s="22"/>
    </row>
    <row r="10" customFormat="false" ht="23.85" hidden="false" customHeight="false" outlineLevel="0" collapsed="false">
      <c r="A10" s="21" t="s">
        <v>130</v>
      </c>
      <c r="B10" s="21" t="s">
        <v>110</v>
      </c>
      <c r="C10" s="21" t="s">
        <v>131</v>
      </c>
      <c r="D10" s="21" t="s">
        <v>132</v>
      </c>
      <c r="E10" s="21" t="s">
        <v>133</v>
      </c>
      <c r="F10" s="21" t="s">
        <v>134</v>
      </c>
      <c r="G10" s="22" t="s">
        <v>36</v>
      </c>
      <c r="H10" s="23"/>
      <c r="I10" s="22"/>
      <c r="J10" s="22"/>
      <c r="K10" s="22"/>
      <c r="L10" s="22"/>
    </row>
    <row r="11" customFormat="false" ht="15" hidden="false" customHeight="false" outlineLevel="0" collapsed="false">
      <c r="A11" s="20" t="s">
        <v>39</v>
      </c>
      <c r="B11" s="8"/>
      <c r="C11" s="8"/>
      <c r="D11" s="8"/>
      <c r="E11" s="8"/>
      <c r="F11" s="8"/>
      <c r="G11" s="24"/>
      <c r="H11" s="8"/>
      <c r="I11" s="8"/>
      <c r="J11" s="8"/>
      <c r="K11" s="24"/>
      <c r="L11" s="8"/>
    </row>
    <row r="12" customFormat="false" ht="23.85" hidden="false" customHeight="false" outlineLevel="0" collapsed="false">
      <c r="A12" s="21" t="s">
        <v>135</v>
      </c>
      <c r="B12" s="21" t="s">
        <v>136</v>
      </c>
      <c r="C12" s="21" t="s">
        <v>137</v>
      </c>
      <c r="D12" s="21" t="s">
        <v>138</v>
      </c>
      <c r="E12" s="21" t="s">
        <v>139</v>
      </c>
      <c r="F12" s="21" t="s">
        <v>140</v>
      </c>
      <c r="G12" s="22" t="s">
        <v>36</v>
      </c>
      <c r="H12" s="23"/>
      <c r="I12" s="22"/>
      <c r="J12" s="22"/>
      <c r="K12" s="22"/>
      <c r="L12" s="22"/>
    </row>
    <row r="13" customFormat="false" ht="23.85" hidden="false" customHeight="false" outlineLevel="0" collapsed="false">
      <c r="A13" s="21" t="s">
        <v>141</v>
      </c>
      <c r="B13" s="21" t="s">
        <v>136</v>
      </c>
      <c r="C13" s="21" t="s">
        <v>142</v>
      </c>
      <c r="D13" s="21" t="s">
        <v>143</v>
      </c>
      <c r="E13" s="21" t="s">
        <v>144</v>
      </c>
      <c r="F13" s="21" t="s">
        <v>145</v>
      </c>
      <c r="G13" s="22" t="s">
        <v>36</v>
      </c>
      <c r="H13" s="23"/>
      <c r="I13" s="22"/>
      <c r="J13" s="22"/>
      <c r="K13" s="22"/>
      <c r="L13" s="22"/>
    </row>
    <row r="14" customFormat="false" ht="23.85" hidden="false" customHeight="false" outlineLevel="0" collapsed="false">
      <c r="A14" s="21" t="s">
        <v>146</v>
      </c>
      <c r="B14" s="21" t="s">
        <v>136</v>
      </c>
      <c r="C14" s="21" t="s">
        <v>147</v>
      </c>
      <c r="D14" s="21" t="s">
        <v>148</v>
      </c>
      <c r="E14" s="21" t="s">
        <v>149</v>
      </c>
      <c r="F14" s="21" t="s">
        <v>150</v>
      </c>
      <c r="G14" s="22" t="s">
        <v>36</v>
      </c>
      <c r="H14" s="23"/>
      <c r="I14" s="22"/>
      <c r="J14" s="22"/>
      <c r="K14" s="22"/>
      <c r="L14" s="22"/>
    </row>
    <row r="15" customFormat="false" ht="23.85" hidden="false" customHeight="false" outlineLevel="0" collapsed="false">
      <c r="A15" s="21" t="s">
        <v>151</v>
      </c>
      <c r="B15" s="21" t="s">
        <v>136</v>
      </c>
      <c r="C15" s="21" t="s">
        <v>152</v>
      </c>
      <c r="D15" s="21" t="s">
        <v>153</v>
      </c>
      <c r="E15" s="21" t="s">
        <v>154</v>
      </c>
      <c r="F15" s="21" t="s">
        <v>155</v>
      </c>
      <c r="G15" s="22" t="s">
        <v>36</v>
      </c>
      <c r="H15" s="23"/>
      <c r="I15" s="22"/>
      <c r="J15" s="22"/>
      <c r="K15" s="22"/>
      <c r="L15" s="22"/>
    </row>
    <row r="16" customFormat="false" ht="23.85" hidden="false" customHeight="false" outlineLevel="0" collapsed="false">
      <c r="A16" s="21" t="s">
        <v>156</v>
      </c>
      <c r="B16" s="21" t="s">
        <v>136</v>
      </c>
      <c r="C16" s="21" t="s">
        <v>157</v>
      </c>
      <c r="D16" s="21" t="s">
        <v>158</v>
      </c>
      <c r="E16" s="21" t="s">
        <v>159</v>
      </c>
      <c r="F16" s="21" t="s">
        <v>160</v>
      </c>
      <c r="G16" s="22" t="s">
        <v>36</v>
      </c>
      <c r="H16" s="23"/>
      <c r="I16" s="22"/>
      <c r="J16" s="22"/>
      <c r="K16" s="22"/>
      <c r="L16" s="22"/>
    </row>
    <row r="17" customFormat="false" ht="23.85" hidden="false" customHeight="false" outlineLevel="0" collapsed="false">
      <c r="A17" s="21" t="s">
        <v>161</v>
      </c>
      <c r="B17" s="21" t="s">
        <v>136</v>
      </c>
      <c r="C17" s="21" t="s">
        <v>162</v>
      </c>
      <c r="D17" s="21" t="s">
        <v>163</v>
      </c>
      <c r="E17" s="21" t="s">
        <v>164</v>
      </c>
      <c r="F17" s="21" t="s">
        <v>165</v>
      </c>
      <c r="G17" s="22" t="s">
        <v>36</v>
      </c>
      <c r="H17" s="23"/>
      <c r="I17" s="22"/>
      <c r="J17" s="22"/>
      <c r="K17" s="22"/>
      <c r="L17" s="22"/>
    </row>
    <row r="18" customFormat="false" ht="23.85" hidden="false" customHeight="false" outlineLevel="0" collapsed="false">
      <c r="A18" s="21" t="s">
        <v>166</v>
      </c>
      <c r="B18" s="21" t="s">
        <v>136</v>
      </c>
      <c r="C18" s="21" t="s">
        <v>167</v>
      </c>
      <c r="D18" s="21" t="s">
        <v>168</v>
      </c>
      <c r="E18" s="21" t="s">
        <v>169</v>
      </c>
      <c r="F18" s="21" t="s">
        <v>170</v>
      </c>
      <c r="G18" s="22" t="s">
        <v>36</v>
      </c>
      <c r="H18" s="23"/>
      <c r="I18" s="22"/>
      <c r="J18" s="22"/>
      <c r="K18" s="22"/>
      <c r="L18" s="22"/>
    </row>
    <row r="19" customFormat="false" ht="23.85" hidden="false" customHeight="false" outlineLevel="0" collapsed="false">
      <c r="A19" s="21" t="s">
        <v>171</v>
      </c>
      <c r="B19" s="21" t="s">
        <v>136</v>
      </c>
      <c r="C19" s="21" t="s">
        <v>172</v>
      </c>
      <c r="D19" s="21" t="s">
        <v>173</v>
      </c>
      <c r="E19" s="21" t="s">
        <v>174</v>
      </c>
      <c r="F19" s="21" t="s">
        <v>175</v>
      </c>
      <c r="G19" s="22" t="s">
        <v>36</v>
      </c>
      <c r="H19" s="23"/>
      <c r="I19" s="22"/>
      <c r="J19" s="22"/>
      <c r="K19" s="22"/>
      <c r="L19" s="22"/>
    </row>
    <row r="20" customFormat="false" ht="35.05" hidden="false" customHeight="false" outlineLevel="0" collapsed="false">
      <c r="A20" s="21" t="s">
        <v>176</v>
      </c>
      <c r="B20" s="21" t="s">
        <v>136</v>
      </c>
      <c r="C20" s="21" t="s">
        <v>177</v>
      </c>
      <c r="D20" s="21" t="s">
        <v>178</v>
      </c>
      <c r="E20" s="21" t="s">
        <v>179</v>
      </c>
      <c r="F20" s="21" t="s">
        <v>180</v>
      </c>
      <c r="G20" s="22" t="s">
        <v>36</v>
      </c>
      <c r="H20" s="23"/>
      <c r="I20" s="22"/>
      <c r="J20" s="22"/>
      <c r="K20" s="22"/>
      <c r="L20" s="22"/>
    </row>
    <row r="21" customFormat="false" ht="23.85" hidden="false" customHeight="false" outlineLevel="0" collapsed="false">
      <c r="A21" s="21" t="s">
        <v>181</v>
      </c>
      <c r="B21" s="21" t="s">
        <v>136</v>
      </c>
      <c r="C21" s="21" t="s">
        <v>182</v>
      </c>
      <c r="D21" s="21" t="s">
        <v>183</v>
      </c>
      <c r="E21" s="21" t="s">
        <v>184</v>
      </c>
      <c r="F21" s="21" t="s">
        <v>185</v>
      </c>
      <c r="G21" s="22" t="s">
        <v>36</v>
      </c>
      <c r="H21" s="23"/>
      <c r="I21" s="22"/>
      <c r="J21" s="22"/>
      <c r="K21" s="22"/>
      <c r="L21" s="22"/>
    </row>
    <row r="22" customFormat="false" ht="23.85" hidden="false" customHeight="false" outlineLevel="0" collapsed="false">
      <c r="A22" s="21" t="s">
        <v>186</v>
      </c>
      <c r="B22" s="21" t="s">
        <v>136</v>
      </c>
      <c r="C22" s="21" t="s">
        <v>187</v>
      </c>
      <c r="D22" s="21" t="s">
        <v>188</v>
      </c>
      <c r="E22" s="21" t="s">
        <v>189</v>
      </c>
      <c r="F22" s="21" t="s">
        <v>190</v>
      </c>
      <c r="G22" s="22" t="s">
        <v>36</v>
      </c>
      <c r="H22" s="23"/>
      <c r="I22" s="22"/>
      <c r="J22" s="22"/>
      <c r="K22" s="22"/>
      <c r="L22" s="22"/>
    </row>
    <row r="23" customFormat="false" ht="23.85" hidden="false" customHeight="false" outlineLevel="0" collapsed="false">
      <c r="A23" s="21" t="s">
        <v>191</v>
      </c>
      <c r="B23" s="21" t="s">
        <v>136</v>
      </c>
      <c r="C23" s="21" t="s">
        <v>192</v>
      </c>
      <c r="D23" s="21" t="s">
        <v>193</v>
      </c>
      <c r="E23" s="21" t="s">
        <v>194</v>
      </c>
      <c r="F23" s="21" t="s">
        <v>195</v>
      </c>
      <c r="G23" s="22" t="s">
        <v>36</v>
      </c>
      <c r="H23" s="23"/>
      <c r="I23" s="22"/>
      <c r="J23" s="22"/>
      <c r="K23" s="22"/>
      <c r="L23" s="22"/>
    </row>
    <row r="24" customFormat="false" ht="23.85" hidden="false" customHeight="false" outlineLevel="0" collapsed="false">
      <c r="A24" s="21" t="s">
        <v>196</v>
      </c>
      <c r="B24" s="21" t="s">
        <v>136</v>
      </c>
      <c r="C24" s="21" t="s">
        <v>197</v>
      </c>
      <c r="D24" s="21" t="s">
        <v>198</v>
      </c>
      <c r="E24" s="21" t="s">
        <v>199</v>
      </c>
      <c r="F24" s="21" t="s">
        <v>200</v>
      </c>
      <c r="G24" s="22" t="s">
        <v>36</v>
      </c>
      <c r="H24" s="23"/>
      <c r="I24" s="22"/>
      <c r="J24" s="22"/>
      <c r="K24" s="22"/>
      <c r="L24" s="22"/>
    </row>
    <row r="25" customFormat="false" ht="23.85" hidden="false" customHeight="false" outlineLevel="0" collapsed="false">
      <c r="A25" s="21" t="s">
        <v>201</v>
      </c>
      <c r="B25" s="21" t="s">
        <v>136</v>
      </c>
      <c r="C25" s="21" t="s">
        <v>202</v>
      </c>
      <c r="D25" s="21" t="s">
        <v>203</v>
      </c>
      <c r="E25" s="21" t="s">
        <v>204</v>
      </c>
      <c r="F25" s="21" t="s">
        <v>205</v>
      </c>
      <c r="G25" s="22" t="s">
        <v>36</v>
      </c>
      <c r="H25" s="23"/>
      <c r="I25" s="22"/>
      <c r="J25" s="22"/>
      <c r="K25" s="22"/>
      <c r="L25" s="22"/>
    </row>
    <row r="26" customFormat="false" ht="15" hidden="false" customHeight="false" outlineLevel="0" collapsed="false">
      <c r="A26" s="20" t="s">
        <v>40</v>
      </c>
      <c r="B26" s="8"/>
      <c r="C26" s="8"/>
      <c r="D26" s="8"/>
      <c r="E26" s="8"/>
      <c r="F26" s="8"/>
      <c r="G26" s="24"/>
      <c r="H26" s="8"/>
      <c r="I26" s="8"/>
      <c r="J26" s="8"/>
      <c r="K26" s="24"/>
      <c r="L26" s="8"/>
    </row>
    <row r="27" customFormat="false" ht="35.05" hidden="false" customHeight="false" outlineLevel="0" collapsed="false">
      <c r="A27" s="21" t="s">
        <v>206</v>
      </c>
      <c r="B27" s="21" t="s">
        <v>207</v>
      </c>
      <c r="C27" s="21" t="s">
        <v>208</v>
      </c>
      <c r="D27" s="21" t="s">
        <v>209</v>
      </c>
      <c r="E27" s="21" t="s">
        <v>210</v>
      </c>
      <c r="F27" s="21" t="s">
        <v>211</v>
      </c>
      <c r="G27" s="22" t="s">
        <v>36</v>
      </c>
      <c r="H27" s="23"/>
      <c r="I27" s="22"/>
      <c r="J27" s="22"/>
      <c r="K27" s="22"/>
      <c r="L27" s="22"/>
    </row>
    <row r="28" customFormat="false" ht="35.05" hidden="false" customHeight="false" outlineLevel="0" collapsed="false">
      <c r="A28" s="21" t="s">
        <v>212</v>
      </c>
      <c r="B28" s="21" t="s">
        <v>207</v>
      </c>
      <c r="C28" s="21" t="s">
        <v>213</v>
      </c>
      <c r="D28" s="21" t="s">
        <v>214</v>
      </c>
      <c r="E28" s="21" t="s">
        <v>215</v>
      </c>
      <c r="F28" s="21" t="s">
        <v>216</v>
      </c>
      <c r="G28" s="22" t="s">
        <v>36</v>
      </c>
      <c r="H28" s="23"/>
      <c r="I28" s="22"/>
      <c r="J28" s="22"/>
      <c r="K28" s="22"/>
      <c r="L28" s="22"/>
    </row>
    <row r="29" customFormat="false" ht="23.85" hidden="false" customHeight="false" outlineLevel="0" collapsed="false">
      <c r="A29" s="21" t="s">
        <v>217</v>
      </c>
      <c r="B29" s="21" t="s">
        <v>207</v>
      </c>
      <c r="C29" s="21" t="s">
        <v>218</v>
      </c>
      <c r="D29" s="21" t="s">
        <v>219</v>
      </c>
      <c r="E29" s="21" t="s">
        <v>220</v>
      </c>
      <c r="F29" s="21" t="s">
        <v>221</v>
      </c>
      <c r="G29" s="22" t="s">
        <v>36</v>
      </c>
      <c r="H29" s="23"/>
      <c r="I29" s="22"/>
      <c r="J29" s="22"/>
      <c r="K29" s="22"/>
      <c r="L29" s="22"/>
    </row>
    <row r="30" customFormat="false" ht="57.45" hidden="false" customHeight="false" outlineLevel="0" collapsed="false">
      <c r="A30" s="21" t="s">
        <v>222</v>
      </c>
      <c r="B30" s="21" t="s">
        <v>207</v>
      </c>
      <c r="C30" s="21" t="s">
        <v>223</v>
      </c>
      <c r="D30" s="21" t="s">
        <v>224</v>
      </c>
      <c r="E30" s="21" t="s">
        <v>225</v>
      </c>
      <c r="F30" s="21" t="s">
        <v>226</v>
      </c>
      <c r="G30" s="22" t="s">
        <v>36</v>
      </c>
      <c r="H30" s="23"/>
      <c r="I30" s="22"/>
      <c r="J30" s="22"/>
      <c r="K30" s="22"/>
      <c r="L30" s="22"/>
    </row>
    <row r="31" customFormat="false" ht="23.85" hidden="false" customHeight="false" outlineLevel="0" collapsed="false">
      <c r="A31" s="21" t="s">
        <v>227</v>
      </c>
      <c r="B31" s="21" t="s">
        <v>207</v>
      </c>
      <c r="C31" s="21" t="s">
        <v>228</v>
      </c>
      <c r="D31" s="21" t="s">
        <v>229</v>
      </c>
      <c r="E31" s="21" t="s">
        <v>230</v>
      </c>
      <c r="F31" s="21" t="s">
        <v>231</v>
      </c>
      <c r="G31" s="22" t="s">
        <v>36</v>
      </c>
      <c r="H31" s="23"/>
      <c r="I31" s="22"/>
      <c r="J31" s="22"/>
      <c r="K31" s="22"/>
      <c r="L31" s="22"/>
    </row>
    <row r="32" customFormat="false" ht="23.85" hidden="false" customHeight="false" outlineLevel="0" collapsed="false">
      <c r="A32" s="21" t="s">
        <v>232</v>
      </c>
      <c r="B32" s="21" t="s">
        <v>207</v>
      </c>
      <c r="C32" s="21" t="s">
        <v>233</v>
      </c>
      <c r="D32" s="21" t="s">
        <v>234</v>
      </c>
      <c r="E32" s="21" t="s">
        <v>235</v>
      </c>
      <c r="F32" s="21" t="s">
        <v>236</v>
      </c>
      <c r="G32" s="22" t="s">
        <v>36</v>
      </c>
      <c r="H32" s="23"/>
      <c r="I32" s="22"/>
      <c r="J32" s="22"/>
      <c r="K32" s="22"/>
      <c r="L32" s="22"/>
    </row>
    <row r="33" customFormat="false" ht="35.05" hidden="false" customHeight="false" outlineLevel="0" collapsed="false">
      <c r="A33" s="21" t="s">
        <v>237</v>
      </c>
      <c r="B33" s="21" t="s">
        <v>207</v>
      </c>
      <c r="C33" s="21" t="s">
        <v>238</v>
      </c>
      <c r="D33" s="21" t="s">
        <v>239</v>
      </c>
      <c r="E33" s="21" t="s">
        <v>240</v>
      </c>
      <c r="F33" s="21" t="s">
        <v>241</v>
      </c>
      <c r="G33" s="22" t="s">
        <v>36</v>
      </c>
      <c r="H33" s="23"/>
      <c r="I33" s="22"/>
      <c r="J33" s="22"/>
      <c r="K33" s="22"/>
      <c r="L33" s="22"/>
    </row>
    <row r="34" customFormat="false" ht="23.85" hidden="false" customHeight="false" outlineLevel="0" collapsed="false">
      <c r="A34" s="21" t="s">
        <v>242</v>
      </c>
      <c r="B34" s="21" t="s">
        <v>207</v>
      </c>
      <c r="C34" s="21" t="s">
        <v>243</v>
      </c>
      <c r="D34" s="21" t="s">
        <v>244</v>
      </c>
      <c r="E34" s="21" t="s">
        <v>245</v>
      </c>
      <c r="F34" s="21" t="s">
        <v>246</v>
      </c>
      <c r="G34" s="22" t="s">
        <v>36</v>
      </c>
      <c r="H34" s="23"/>
      <c r="I34" s="22"/>
      <c r="J34" s="22"/>
      <c r="K34" s="22"/>
      <c r="L34" s="22"/>
    </row>
    <row r="35" customFormat="false" ht="23.85" hidden="false" customHeight="false" outlineLevel="0" collapsed="false">
      <c r="A35" s="21" t="s">
        <v>247</v>
      </c>
      <c r="B35" s="21" t="s">
        <v>207</v>
      </c>
      <c r="C35" s="21" t="s">
        <v>248</v>
      </c>
      <c r="D35" s="21" t="s">
        <v>249</v>
      </c>
      <c r="E35" s="21" t="s">
        <v>250</v>
      </c>
      <c r="F35" s="21" t="s">
        <v>251</v>
      </c>
      <c r="G35" s="22" t="s">
        <v>36</v>
      </c>
      <c r="H35" s="23"/>
      <c r="I35" s="22"/>
      <c r="J35" s="22"/>
      <c r="K35" s="22"/>
      <c r="L35" s="22"/>
    </row>
    <row r="36" customFormat="false" ht="23.85" hidden="false" customHeight="false" outlineLevel="0" collapsed="false">
      <c r="A36" s="21" t="s">
        <v>252</v>
      </c>
      <c r="B36" s="21" t="s">
        <v>207</v>
      </c>
      <c r="C36" s="21" t="s">
        <v>253</v>
      </c>
      <c r="D36" s="21" t="s">
        <v>254</v>
      </c>
      <c r="E36" s="21" t="s">
        <v>255</v>
      </c>
      <c r="F36" s="21" t="s">
        <v>256</v>
      </c>
      <c r="G36" s="22" t="s">
        <v>36</v>
      </c>
      <c r="H36" s="23"/>
      <c r="I36" s="22"/>
      <c r="J36" s="22"/>
      <c r="K36" s="22"/>
      <c r="L36" s="22"/>
    </row>
    <row r="37" customFormat="false" ht="35.05" hidden="false" customHeight="false" outlineLevel="0" collapsed="false">
      <c r="A37" s="21" t="s">
        <v>257</v>
      </c>
      <c r="B37" s="21" t="s">
        <v>207</v>
      </c>
      <c r="C37" s="21" t="s">
        <v>258</v>
      </c>
      <c r="D37" s="21" t="s">
        <v>259</v>
      </c>
      <c r="E37" s="21" t="s">
        <v>260</v>
      </c>
      <c r="F37" s="21" t="s">
        <v>256</v>
      </c>
      <c r="G37" s="22" t="s">
        <v>36</v>
      </c>
      <c r="H37" s="23"/>
      <c r="I37" s="22"/>
      <c r="J37" s="22"/>
      <c r="K37" s="22"/>
      <c r="L37" s="22"/>
    </row>
    <row r="38" customFormat="false" ht="23.85" hidden="false" customHeight="false" outlineLevel="0" collapsed="false">
      <c r="A38" s="21" t="s">
        <v>261</v>
      </c>
      <c r="B38" s="21" t="s">
        <v>207</v>
      </c>
      <c r="C38" s="21" t="s">
        <v>262</v>
      </c>
      <c r="D38" s="21" t="s">
        <v>263</v>
      </c>
      <c r="E38" s="21" t="s">
        <v>264</v>
      </c>
      <c r="F38" s="21" t="s">
        <v>265</v>
      </c>
      <c r="G38" s="22" t="s">
        <v>36</v>
      </c>
      <c r="H38" s="23"/>
      <c r="I38" s="22"/>
      <c r="J38" s="22"/>
      <c r="K38" s="22"/>
      <c r="L38" s="22"/>
    </row>
    <row r="39" customFormat="false" ht="46.25" hidden="false" customHeight="false" outlineLevel="0" collapsed="false">
      <c r="A39" s="21" t="s">
        <v>266</v>
      </c>
      <c r="B39" s="21" t="s">
        <v>207</v>
      </c>
      <c r="C39" s="21" t="s">
        <v>267</v>
      </c>
      <c r="D39" s="21" t="s">
        <v>268</v>
      </c>
      <c r="E39" s="21" t="s">
        <v>269</v>
      </c>
      <c r="F39" s="21" t="s">
        <v>270</v>
      </c>
      <c r="G39" s="22" t="s">
        <v>36</v>
      </c>
      <c r="H39" s="23"/>
      <c r="I39" s="22"/>
      <c r="J39" s="22"/>
      <c r="K39" s="22"/>
      <c r="L39" s="22"/>
    </row>
    <row r="40" customFormat="false" ht="35.05" hidden="false" customHeight="false" outlineLevel="0" collapsed="false">
      <c r="A40" s="21" t="s">
        <v>271</v>
      </c>
      <c r="B40" s="21" t="s">
        <v>207</v>
      </c>
      <c r="C40" s="21" t="s">
        <v>272</v>
      </c>
      <c r="D40" s="21" t="s">
        <v>273</v>
      </c>
      <c r="E40" s="21" t="s">
        <v>274</v>
      </c>
      <c r="F40" s="21" t="s">
        <v>275</v>
      </c>
      <c r="G40" s="22" t="s">
        <v>36</v>
      </c>
      <c r="H40" s="23"/>
      <c r="I40" s="22"/>
      <c r="J40" s="22"/>
      <c r="K40" s="22"/>
      <c r="L40" s="22"/>
    </row>
    <row r="41" customFormat="false" ht="23.85" hidden="false" customHeight="false" outlineLevel="0" collapsed="false">
      <c r="A41" s="21" t="s">
        <v>276</v>
      </c>
      <c r="B41" s="21" t="s">
        <v>207</v>
      </c>
      <c r="C41" s="21" t="s">
        <v>277</v>
      </c>
      <c r="D41" s="21" t="s">
        <v>278</v>
      </c>
      <c r="E41" s="21" t="s">
        <v>279</v>
      </c>
      <c r="F41" s="21" t="s">
        <v>280</v>
      </c>
      <c r="G41" s="22" t="s">
        <v>36</v>
      </c>
      <c r="H41" s="23"/>
      <c r="I41" s="22"/>
      <c r="J41" s="22"/>
      <c r="K41" s="22"/>
      <c r="L41" s="22"/>
    </row>
    <row r="42" customFormat="false" ht="23.85" hidden="false" customHeight="false" outlineLevel="0" collapsed="false">
      <c r="A42" s="21" t="s">
        <v>281</v>
      </c>
      <c r="B42" s="21" t="s">
        <v>207</v>
      </c>
      <c r="C42" s="21" t="s">
        <v>282</v>
      </c>
      <c r="D42" s="21" t="s">
        <v>283</v>
      </c>
      <c r="E42" s="21" t="s">
        <v>284</v>
      </c>
      <c r="F42" s="21" t="s">
        <v>285</v>
      </c>
      <c r="G42" s="22" t="s">
        <v>36</v>
      </c>
      <c r="H42" s="23"/>
      <c r="I42" s="22"/>
      <c r="J42" s="22"/>
      <c r="K42" s="22"/>
      <c r="L42" s="22"/>
    </row>
    <row r="43" customFormat="false" ht="23.85" hidden="false" customHeight="false" outlineLevel="0" collapsed="false">
      <c r="A43" s="21" t="s">
        <v>286</v>
      </c>
      <c r="B43" s="21" t="s">
        <v>207</v>
      </c>
      <c r="C43" s="21" t="s">
        <v>287</v>
      </c>
      <c r="D43" s="21" t="s">
        <v>288</v>
      </c>
      <c r="E43" s="21" t="s">
        <v>289</v>
      </c>
      <c r="F43" s="21" t="s">
        <v>290</v>
      </c>
      <c r="G43" s="22" t="s">
        <v>36</v>
      </c>
      <c r="H43" s="23"/>
      <c r="I43" s="22"/>
      <c r="J43" s="22"/>
      <c r="K43" s="22"/>
      <c r="L43" s="22"/>
    </row>
    <row r="44" customFormat="false" ht="35.05" hidden="false" customHeight="false" outlineLevel="0" collapsed="false">
      <c r="A44" s="21" t="s">
        <v>291</v>
      </c>
      <c r="B44" s="21" t="s">
        <v>207</v>
      </c>
      <c r="C44" s="21" t="s">
        <v>292</v>
      </c>
      <c r="D44" s="21" t="s">
        <v>293</v>
      </c>
      <c r="E44" s="21" t="s">
        <v>294</v>
      </c>
      <c r="F44" s="21" t="s">
        <v>295</v>
      </c>
      <c r="G44" s="22" t="s">
        <v>36</v>
      </c>
      <c r="H44" s="23"/>
      <c r="I44" s="22"/>
      <c r="J44" s="22"/>
      <c r="K44" s="22"/>
      <c r="L44" s="22"/>
    </row>
    <row r="45" customFormat="false" ht="23.85" hidden="false" customHeight="false" outlineLevel="0" collapsed="false">
      <c r="A45" s="21" t="s">
        <v>296</v>
      </c>
      <c r="B45" s="21" t="s">
        <v>207</v>
      </c>
      <c r="C45" s="21" t="s">
        <v>297</v>
      </c>
      <c r="D45" s="21" t="s">
        <v>298</v>
      </c>
      <c r="E45" s="21" t="s">
        <v>299</v>
      </c>
      <c r="F45" s="21" t="s">
        <v>300</v>
      </c>
      <c r="G45" s="22" t="s">
        <v>36</v>
      </c>
      <c r="H45" s="23"/>
      <c r="I45" s="22"/>
      <c r="J45" s="22"/>
      <c r="K45" s="22"/>
      <c r="L45" s="22"/>
    </row>
    <row r="46" customFormat="false" ht="46.25" hidden="false" customHeight="false" outlineLevel="0" collapsed="false">
      <c r="A46" s="21" t="s">
        <v>301</v>
      </c>
      <c r="B46" s="21" t="s">
        <v>207</v>
      </c>
      <c r="C46" s="21" t="s">
        <v>302</v>
      </c>
      <c r="D46" s="21" t="s">
        <v>303</v>
      </c>
      <c r="E46" s="21" t="s">
        <v>304</v>
      </c>
      <c r="F46" s="21" t="s">
        <v>305</v>
      </c>
      <c r="G46" s="22" t="s">
        <v>36</v>
      </c>
      <c r="H46" s="23"/>
      <c r="I46" s="22"/>
      <c r="J46" s="22"/>
      <c r="K46" s="22"/>
      <c r="L46" s="22"/>
    </row>
    <row r="47" customFormat="false" ht="35.05" hidden="false" customHeight="false" outlineLevel="0" collapsed="false">
      <c r="A47" s="21" t="s">
        <v>306</v>
      </c>
      <c r="B47" s="21" t="s">
        <v>207</v>
      </c>
      <c r="C47" s="21" t="s">
        <v>307</v>
      </c>
      <c r="D47" s="21" t="s">
        <v>308</v>
      </c>
      <c r="E47" s="21" t="s">
        <v>309</v>
      </c>
      <c r="F47" s="21" t="s">
        <v>310</v>
      </c>
      <c r="G47" s="22" t="s">
        <v>36</v>
      </c>
      <c r="H47" s="23"/>
      <c r="I47" s="22"/>
      <c r="J47" s="22"/>
      <c r="K47" s="22"/>
      <c r="L47" s="22"/>
    </row>
    <row r="48" customFormat="false" ht="35.05" hidden="false" customHeight="false" outlineLevel="0" collapsed="false">
      <c r="A48" s="21" t="s">
        <v>311</v>
      </c>
      <c r="B48" s="21" t="s">
        <v>207</v>
      </c>
      <c r="C48" s="21" t="s">
        <v>312</v>
      </c>
      <c r="D48" s="21" t="s">
        <v>313</v>
      </c>
      <c r="E48" s="21" t="s">
        <v>314</v>
      </c>
      <c r="F48" s="21" t="s">
        <v>300</v>
      </c>
      <c r="G48" s="22" t="s">
        <v>36</v>
      </c>
      <c r="H48" s="23"/>
      <c r="I48" s="22"/>
      <c r="J48" s="22"/>
      <c r="K48" s="22"/>
      <c r="L48" s="22"/>
    </row>
    <row r="49" customFormat="false" ht="35.05" hidden="false" customHeight="false" outlineLevel="0" collapsed="false">
      <c r="A49" s="21" t="s">
        <v>315</v>
      </c>
      <c r="B49" s="21" t="s">
        <v>207</v>
      </c>
      <c r="C49" s="21" t="s">
        <v>316</v>
      </c>
      <c r="D49" s="21" t="s">
        <v>317</v>
      </c>
      <c r="E49" s="21" t="s">
        <v>318</v>
      </c>
      <c r="F49" s="21" t="s">
        <v>319</v>
      </c>
      <c r="G49" s="22" t="s">
        <v>36</v>
      </c>
      <c r="H49" s="23"/>
      <c r="I49" s="22"/>
      <c r="J49" s="22"/>
      <c r="K49" s="22"/>
      <c r="L49" s="22"/>
    </row>
    <row r="50" customFormat="false" ht="35.05" hidden="false" customHeight="false" outlineLevel="0" collapsed="false">
      <c r="A50" s="21" t="s">
        <v>320</v>
      </c>
      <c r="B50" s="21" t="s">
        <v>207</v>
      </c>
      <c r="C50" s="21" t="s">
        <v>321</v>
      </c>
      <c r="D50" s="21" t="s">
        <v>322</v>
      </c>
      <c r="E50" s="21" t="s">
        <v>323</v>
      </c>
      <c r="F50" s="21" t="s">
        <v>324</v>
      </c>
      <c r="G50" s="22" t="s">
        <v>36</v>
      </c>
      <c r="H50" s="23"/>
      <c r="I50" s="22"/>
      <c r="J50" s="22"/>
      <c r="K50" s="22"/>
      <c r="L50" s="22"/>
    </row>
    <row r="51" customFormat="false" ht="23.85" hidden="false" customHeight="false" outlineLevel="0" collapsed="false">
      <c r="A51" s="21" t="s">
        <v>325</v>
      </c>
      <c r="B51" s="21" t="s">
        <v>207</v>
      </c>
      <c r="C51" s="21" t="s">
        <v>326</v>
      </c>
      <c r="D51" s="21" t="s">
        <v>327</v>
      </c>
      <c r="E51" s="21" t="s">
        <v>328</v>
      </c>
      <c r="F51" s="21" t="s">
        <v>329</v>
      </c>
      <c r="G51" s="22" t="s">
        <v>36</v>
      </c>
      <c r="H51" s="23"/>
      <c r="I51" s="22"/>
      <c r="J51" s="22"/>
      <c r="K51" s="22"/>
      <c r="L51" s="22"/>
    </row>
    <row r="52" customFormat="false" ht="35.05" hidden="false" customHeight="false" outlineLevel="0" collapsed="false">
      <c r="A52" s="21" t="s">
        <v>330</v>
      </c>
      <c r="B52" s="21" t="s">
        <v>207</v>
      </c>
      <c r="C52" s="21" t="s">
        <v>331</v>
      </c>
      <c r="D52" s="21" t="s">
        <v>332</v>
      </c>
      <c r="E52" s="21" t="s">
        <v>333</v>
      </c>
      <c r="F52" s="21" t="s">
        <v>324</v>
      </c>
      <c r="G52" s="22" t="s">
        <v>36</v>
      </c>
      <c r="H52" s="23"/>
      <c r="I52" s="22"/>
      <c r="J52" s="22"/>
      <c r="K52" s="22"/>
      <c r="L52" s="22"/>
    </row>
    <row r="53" customFormat="false" ht="35.05" hidden="false" customHeight="false" outlineLevel="0" collapsed="false">
      <c r="A53" s="21" t="s">
        <v>334</v>
      </c>
      <c r="B53" s="21" t="s">
        <v>207</v>
      </c>
      <c r="C53" s="21" t="s">
        <v>335</v>
      </c>
      <c r="D53" s="21" t="s">
        <v>336</v>
      </c>
      <c r="E53" s="21" t="s">
        <v>337</v>
      </c>
      <c r="F53" s="21" t="s">
        <v>338</v>
      </c>
      <c r="G53" s="22" t="s">
        <v>36</v>
      </c>
      <c r="H53" s="23"/>
      <c r="I53" s="22"/>
      <c r="J53" s="22"/>
      <c r="K53" s="22"/>
      <c r="L53" s="22"/>
    </row>
    <row r="54" customFormat="false" ht="35.05" hidden="false" customHeight="false" outlineLevel="0" collapsed="false">
      <c r="A54" s="21" t="s">
        <v>339</v>
      </c>
      <c r="B54" s="21" t="s">
        <v>207</v>
      </c>
      <c r="C54" s="21" t="s">
        <v>340</v>
      </c>
      <c r="D54" s="21" t="s">
        <v>341</v>
      </c>
      <c r="E54" s="21" t="s">
        <v>342</v>
      </c>
      <c r="F54" s="21" t="s">
        <v>343</v>
      </c>
      <c r="G54" s="22" t="s">
        <v>36</v>
      </c>
      <c r="H54" s="23"/>
      <c r="I54" s="22"/>
      <c r="J54" s="22"/>
      <c r="K54" s="22"/>
      <c r="L54" s="22"/>
    </row>
    <row r="55" customFormat="false" ht="23.85" hidden="false" customHeight="false" outlineLevel="0" collapsed="false">
      <c r="A55" s="21" t="s">
        <v>344</v>
      </c>
      <c r="B55" s="21" t="s">
        <v>207</v>
      </c>
      <c r="C55" s="21" t="s">
        <v>345</v>
      </c>
      <c r="D55" s="21" t="s">
        <v>346</v>
      </c>
      <c r="E55" s="21" t="s">
        <v>347</v>
      </c>
      <c r="F55" s="21" t="s">
        <v>348</v>
      </c>
      <c r="G55" s="22" t="s">
        <v>36</v>
      </c>
      <c r="H55" s="23"/>
      <c r="I55" s="22"/>
      <c r="J55" s="22"/>
      <c r="K55" s="22"/>
      <c r="L55" s="22"/>
    </row>
    <row r="56" customFormat="false" ht="46.25" hidden="false" customHeight="false" outlineLevel="0" collapsed="false">
      <c r="A56" s="21" t="s">
        <v>349</v>
      </c>
      <c r="B56" s="21" t="s">
        <v>207</v>
      </c>
      <c r="C56" s="21" t="s">
        <v>350</v>
      </c>
      <c r="D56" s="21" t="s">
        <v>351</v>
      </c>
      <c r="E56" s="21" t="s">
        <v>352</v>
      </c>
      <c r="F56" s="21" t="s">
        <v>353</v>
      </c>
      <c r="G56" s="22" t="s">
        <v>36</v>
      </c>
      <c r="H56" s="23"/>
      <c r="I56" s="22"/>
      <c r="J56" s="22"/>
      <c r="K56" s="22"/>
      <c r="L56" s="22"/>
    </row>
    <row r="57" customFormat="false" ht="35.05" hidden="false" customHeight="false" outlineLevel="0" collapsed="false">
      <c r="A57" s="21" t="s">
        <v>354</v>
      </c>
      <c r="B57" s="21" t="s">
        <v>207</v>
      </c>
      <c r="C57" s="21" t="s">
        <v>355</v>
      </c>
      <c r="D57" s="21" t="s">
        <v>356</v>
      </c>
      <c r="E57" s="21" t="s">
        <v>357</v>
      </c>
      <c r="F57" s="21" t="s">
        <v>358</v>
      </c>
      <c r="G57" s="22" t="s">
        <v>36</v>
      </c>
      <c r="H57" s="23"/>
      <c r="I57" s="22"/>
      <c r="J57" s="22"/>
      <c r="K57" s="22"/>
      <c r="L57" s="22"/>
    </row>
    <row r="58" customFormat="false" ht="23.85" hidden="false" customHeight="false" outlineLevel="0" collapsed="false">
      <c r="A58" s="21" t="s">
        <v>359</v>
      </c>
      <c r="B58" s="21" t="s">
        <v>207</v>
      </c>
      <c r="C58" s="21" t="s">
        <v>360</v>
      </c>
      <c r="D58" s="21" t="s">
        <v>361</v>
      </c>
      <c r="E58" s="21" t="s">
        <v>362</v>
      </c>
      <c r="F58" s="21" t="s">
        <v>363</v>
      </c>
      <c r="G58" s="22" t="s">
        <v>36</v>
      </c>
      <c r="H58" s="23"/>
      <c r="I58" s="22"/>
      <c r="J58" s="22"/>
      <c r="K58" s="22"/>
      <c r="L58" s="22"/>
    </row>
    <row r="59" customFormat="false" ht="23.85" hidden="false" customHeight="false" outlineLevel="0" collapsed="false">
      <c r="A59" s="21" t="s">
        <v>364</v>
      </c>
      <c r="B59" s="21" t="s">
        <v>207</v>
      </c>
      <c r="C59" s="21" t="s">
        <v>365</v>
      </c>
      <c r="D59" s="21" t="s">
        <v>366</v>
      </c>
      <c r="E59" s="21" t="s">
        <v>367</v>
      </c>
      <c r="F59" s="21" t="s">
        <v>358</v>
      </c>
      <c r="G59" s="22" t="s">
        <v>36</v>
      </c>
      <c r="H59" s="23"/>
      <c r="I59" s="22"/>
      <c r="J59" s="22"/>
      <c r="K59" s="22"/>
      <c r="L59" s="22"/>
    </row>
    <row r="60" customFormat="false" ht="35.05" hidden="false" customHeight="false" outlineLevel="0" collapsed="false">
      <c r="A60" s="21" t="s">
        <v>368</v>
      </c>
      <c r="B60" s="21" t="s">
        <v>207</v>
      </c>
      <c r="C60" s="21" t="s">
        <v>369</v>
      </c>
      <c r="D60" s="21" t="s">
        <v>370</v>
      </c>
      <c r="E60" s="21" t="s">
        <v>371</v>
      </c>
      <c r="F60" s="21" t="s">
        <v>372</v>
      </c>
      <c r="G60" s="22" t="s">
        <v>36</v>
      </c>
      <c r="H60" s="23"/>
      <c r="I60" s="22"/>
      <c r="J60" s="22"/>
      <c r="K60" s="22"/>
      <c r="L60" s="22"/>
    </row>
    <row r="61" customFormat="false" ht="35.05" hidden="false" customHeight="false" outlineLevel="0" collapsed="false">
      <c r="A61" s="21" t="s">
        <v>373</v>
      </c>
      <c r="B61" s="21" t="s">
        <v>207</v>
      </c>
      <c r="C61" s="21" t="s">
        <v>374</v>
      </c>
      <c r="D61" s="21" t="s">
        <v>375</v>
      </c>
      <c r="E61" s="21" t="s">
        <v>376</v>
      </c>
      <c r="F61" s="21" t="s">
        <v>377</v>
      </c>
      <c r="G61" s="22" t="s">
        <v>36</v>
      </c>
      <c r="H61" s="23"/>
      <c r="I61" s="22"/>
      <c r="J61" s="22"/>
      <c r="K61" s="22"/>
      <c r="L61" s="22"/>
    </row>
    <row r="62" customFormat="false" ht="35.05" hidden="false" customHeight="false" outlineLevel="0" collapsed="false">
      <c r="A62" s="21" t="s">
        <v>378</v>
      </c>
      <c r="B62" s="21" t="s">
        <v>207</v>
      </c>
      <c r="C62" s="21" t="s">
        <v>379</v>
      </c>
      <c r="D62" s="21" t="s">
        <v>380</v>
      </c>
      <c r="E62" s="21" t="s">
        <v>381</v>
      </c>
      <c r="F62" s="21" t="s">
        <v>372</v>
      </c>
      <c r="G62" s="22" t="s">
        <v>36</v>
      </c>
      <c r="H62" s="23"/>
      <c r="I62" s="22"/>
      <c r="J62" s="22"/>
      <c r="K62" s="22"/>
      <c r="L62" s="22"/>
    </row>
    <row r="63" customFormat="false" ht="23.85" hidden="false" customHeight="false" outlineLevel="0" collapsed="false">
      <c r="A63" s="21" t="s">
        <v>382</v>
      </c>
      <c r="B63" s="21" t="s">
        <v>207</v>
      </c>
      <c r="C63" s="21" t="s">
        <v>383</v>
      </c>
      <c r="D63" s="21" t="s">
        <v>384</v>
      </c>
      <c r="E63" s="21" t="s">
        <v>385</v>
      </c>
      <c r="F63" s="21" t="s">
        <v>386</v>
      </c>
      <c r="G63" s="22" t="s">
        <v>36</v>
      </c>
      <c r="H63" s="23"/>
      <c r="I63" s="22"/>
      <c r="J63" s="22"/>
      <c r="K63" s="22"/>
      <c r="L63" s="22"/>
    </row>
    <row r="64" customFormat="false" ht="15" hidden="false" customHeight="false" outlineLevel="0" collapsed="false">
      <c r="A64" s="20" t="s">
        <v>41</v>
      </c>
      <c r="B64" s="8"/>
      <c r="C64" s="8"/>
      <c r="D64" s="8"/>
      <c r="E64" s="8"/>
      <c r="F64" s="8"/>
      <c r="G64" s="24"/>
      <c r="H64" s="8"/>
      <c r="I64" s="8"/>
      <c r="J64" s="8"/>
      <c r="K64" s="24"/>
      <c r="L64" s="8"/>
    </row>
    <row r="65" customFormat="false" ht="46.25" hidden="false" customHeight="false" outlineLevel="0" collapsed="false">
      <c r="A65" s="21" t="s">
        <v>387</v>
      </c>
      <c r="B65" s="21" t="s">
        <v>388</v>
      </c>
      <c r="C65" s="21" t="s">
        <v>389</v>
      </c>
      <c r="D65" s="21" t="s">
        <v>390</v>
      </c>
      <c r="E65" s="21" t="s">
        <v>391</v>
      </c>
      <c r="F65" s="21" t="s">
        <v>392</v>
      </c>
      <c r="G65" s="22" t="s">
        <v>36</v>
      </c>
      <c r="H65" s="23"/>
      <c r="I65" s="22"/>
      <c r="J65" s="22"/>
      <c r="K65" s="22"/>
      <c r="L65" s="22"/>
    </row>
    <row r="66" customFormat="false" ht="23.85" hidden="false" customHeight="false" outlineLevel="0" collapsed="false">
      <c r="A66" s="21" t="s">
        <v>393</v>
      </c>
      <c r="B66" s="21" t="s">
        <v>388</v>
      </c>
      <c r="C66" s="21" t="s">
        <v>394</v>
      </c>
      <c r="D66" s="21" t="s">
        <v>395</v>
      </c>
      <c r="E66" s="21" t="s">
        <v>391</v>
      </c>
      <c r="F66" s="21" t="s">
        <v>396</v>
      </c>
      <c r="G66" s="22" t="s">
        <v>36</v>
      </c>
      <c r="H66" s="23"/>
      <c r="I66" s="22"/>
      <c r="J66" s="22"/>
      <c r="K66" s="22"/>
      <c r="L66" s="22"/>
    </row>
    <row r="67" customFormat="false" ht="35.05" hidden="false" customHeight="false" outlineLevel="0" collapsed="false">
      <c r="A67" s="21" t="s">
        <v>397</v>
      </c>
      <c r="B67" s="21" t="s">
        <v>388</v>
      </c>
      <c r="C67" s="21" t="s">
        <v>398</v>
      </c>
      <c r="D67" s="21" t="s">
        <v>399</v>
      </c>
      <c r="E67" s="21" t="s">
        <v>400</v>
      </c>
      <c r="F67" s="21" t="s">
        <v>401</v>
      </c>
      <c r="G67" s="22" t="s">
        <v>36</v>
      </c>
      <c r="H67" s="23"/>
      <c r="I67" s="22"/>
      <c r="J67" s="22"/>
      <c r="K67" s="22"/>
      <c r="L67" s="22"/>
    </row>
    <row r="68" customFormat="false" ht="23.85" hidden="false" customHeight="false" outlineLevel="0" collapsed="false">
      <c r="A68" s="21" t="s">
        <v>402</v>
      </c>
      <c r="B68" s="21" t="s">
        <v>388</v>
      </c>
      <c r="C68" s="21" t="s">
        <v>403</v>
      </c>
      <c r="D68" s="21" t="s">
        <v>404</v>
      </c>
      <c r="E68" s="21" t="s">
        <v>405</v>
      </c>
      <c r="F68" s="21" t="s">
        <v>406</v>
      </c>
      <c r="G68" s="22" t="s">
        <v>36</v>
      </c>
      <c r="H68" s="23"/>
      <c r="I68" s="22"/>
      <c r="J68" s="22"/>
      <c r="K68" s="22"/>
      <c r="L68" s="22"/>
    </row>
    <row r="69" customFormat="false" ht="23.85" hidden="false" customHeight="false" outlineLevel="0" collapsed="false">
      <c r="A69" s="21" t="s">
        <v>407</v>
      </c>
      <c r="B69" s="21" t="s">
        <v>388</v>
      </c>
      <c r="C69" s="21" t="s">
        <v>408</v>
      </c>
      <c r="D69" s="21" t="s">
        <v>409</v>
      </c>
      <c r="E69" s="21" t="s">
        <v>410</v>
      </c>
      <c r="F69" s="21" t="s">
        <v>411</v>
      </c>
      <c r="G69" s="22" t="s">
        <v>36</v>
      </c>
      <c r="H69" s="23"/>
      <c r="I69" s="22"/>
      <c r="J69" s="22"/>
      <c r="K69" s="22"/>
      <c r="L69" s="22"/>
    </row>
    <row r="70" customFormat="false" ht="23.85" hidden="false" customHeight="false" outlineLevel="0" collapsed="false">
      <c r="A70" s="21" t="s">
        <v>412</v>
      </c>
      <c r="B70" s="21" t="s">
        <v>388</v>
      </c>
      <c r="C70" s="21" t="s">
        <v>413</v>
      </c>
      <c r="D70" s="21" t="s">
        <v>414</v>
      </c>
      <c r="E70" s="21" t="s">
        <v>415</v>
      </c>
      <c r="F70" s="21" t="s">
        <v>416</v>
      </c>
      <c r="G70" s="22" t="s">
        <v>36</v>
      </c>
      <c r="H70" s="23"/>
      <c r="I70" s="22"/>
      <c r="J70" s="22"/>
      <c r="K70" s="22"/>
      <c r="L70" s="22"/>
    </row>
    <row r="71" customFormat="false" ht="23.85" hidden="false" customHeight="false" outlineLevel="0" collapsed="false">
      <c r="A71" s="21" t="s">
        <v>417</v>
      </c>
      <c r="B71" s="21" t="s">
        <v>388</v>
      </c>
      <c r="C71" s="21" t="s">
        <v>418</v>
      </c>
      <c r="D71" s="21" t="s">
        <v>419</v>
      </c>
      <c r="E71" s="21" t="s">
        <v>420</v>
      </c>
      <c r="F71" s="21" t="s">
        <v>421</v>
      </c>
      <c r="G71" s="22" t="s">
        <v>36</v>
      </c>
      <c r="H71" s="23"/>
      <c r="I71" s="22"/>
      <c r="J71" s="22"/>
      <c r="K71" s="22"/>
      <c r="L71" s="22"/>
    </row>
    <row r="72" customFormat="false" ht="23.85" hidden="false" customHeight="false" outlineLevel="0" collapsed="false">
      <c r="A72" s="21" t="s">
        <v>422</v>
      </c>
      <c r="B72" s="21" t="s">
        <v>388</v>
      </c>
      <c r="C72" s="21" t="s">
        <v>423</v>
      </c>
      <c r="D72" s="21" t="s">
        <v>424</v>
      </c>
      <c r="E72" s="21" t="s">
        <v>425</v>
      </c>
      <c r="F72" s="21" t="s">
        <v>426</v>
      </c>
      <c r="G72" s="22" t="s">
        <v>36</v>
      </c>
      <c r="H72" s="23"/>
      <c r="I72" s="22"/>
      <c r="J72" s="22"/>
      <c r="K72" s="22"/>
      <c r="L72" s="22"/>
    </row>
    <row r="73" customFormat="false" ht="23.85" hidden="false" customHeight="false" outlineLevel="0" collapsed="false">
      <c r="A73" s="21" t="s">
        <v>427</v>
      </c>
      <c r="B73" s="21" t="s">
        <v>388</v>
      </c>
      <c r="C73" s="21" t="s">
        <v>428</v>
      </c>
      <c r="D73" s="21" t="s">
        <v>429</v>
      </c>
      <c r="E73" s="21" t="s">
        <v>430</v>
      </c>
      <c r="F73" s="21" t="s">
        <v>421</v>
      </c>
      <c r="G73" s="22" t="s">
        <v>36</v>
      </c>
      <c r="H73" s="23"/>
      <c r="I73" s="22"/>
      <c r="J73" s="22"/>
      <c r="K73" s="22"/>
      <c r="L73" s="22"/>
    </row>
    <row r="74" customFormat="false" ht="46.25" hidden="false" customHeight="false" outlineLevel="0" collapsed="false">
      <c r="A74" s="21" t="s">
        <v>431</v>
      </c>
      <c r="B74" s="21" t="s">
        <v>388</v>
      </c>
      <c r="C74" s="21" t="s">
        <v>432</v>
      </c>
      <c r="D74" s="21" t="s">
        <v>433</v>
      </c>
      <c r="E74" s="21" t="s">
        <v>434</v>
      </c>
      <c r="F74" s="21" t="s">
        <v>435</v>
      </c>
      <c r="G74" s="22" t="s">
        <v>36</v>
      </c>
      <c r="H74" s="23"/>
      <c r="I74" s="22"/>
      <c r="J74" s="22"/>
      <c r="K74" s="22"/>
      <c r="L74" s="22"/>
    </row>
    <row r="75" customFormat="false" ht="23.85" hidden="false" customHeight="false" outlineLevel="0" collapsed="false">
      <c r="A75" s="21" t="s">
        <v>436</v>
      </c>
      <c r="B75" s="21" t="s">
        <v>388</v>
      </c>
      <c r="C75" s="21" t="s">
        <v>437</v>
      </c>
      <c r="D75" s="21" t="s">
        <v>438</v>
      </c>
      <c r="E75" s="21" t="s">
        <v>439</v>
      </c>
      <c r="F75" s="21" t="s">
        <v>411</v>
      </c>
      <c r="G75" s="22" t="s">
        <v>36</v>
      </c>
      <c r="H75" s="23"/>
      <c r="I75" s="22"/>
      <c r="J75" s="22"/>
      <c r="K75" s="22"/>
      <c r="L75" s="22"/>
    </row>
    <row r="76" customFormat="false" ht="35.05" hidden="false" customHeight="false" outlineLevel="0" collapsed="false">
      <c r="A76" s="21" t="s">
        <v>440</v>
      </c>
      <c r="B76" s="21" t="s">
        <v>388</v>
      </c>
      <c r="C76" s="21" t="s">
        <v>441</v>
      </c>
      <c r="D76" s="21" t="s">
        <v>442</v>
      </c>
      <c r="E76" s="21" t="s">
        <v>443</v>
      </c>
      <c r="F76" s="21" t="s">
        <v>444</v>
      </c>
      <c r="G76" s="22" t="s">
        <v>36</v>
      </c>
      <c r="H76" s="23"/>
      <c r="I76" s="22"/>
      <c r="J76" s="22"/>
      <c r="K76" s="22"/>
      <c r="L76" s="22"/>
    </row>
    <row r="77" customFormat="false" ht="23.85" hidden="false" customHeight="false" outlineLevel="0" collapsed="false">
      <c r="A77" s="21" t="s">
        <v>445</v>
      </c>
      <c r="B77" s="21" t="s">
        <v>388</v>
      </c>
      <c r="C77" s="21" t="s">
        <v>446</v>
      </c>
      <c r="D77" s="21" t="s">
        <v>447</v>
      </c>
      <c r="E77" s="21" t="s">
        <v>448</v>
      </c>
      <c r="F77" s="21" t="s">
        <v>449</v>
      </c>
      <c r="G77" s="22" t="s">
        <v>36</v>
      </c>
      <c r="H77" s="23"/>
      <c r="I77" s="22"/>
      <c r="J77" s="22"/>
      <c r="K77" s="22"/>
      <c r="L77" s="22"/>
    </row>
    <row r="78" customFormat="false" ht="35.05" hidden="false" customHeight="false" outlineLevel="0" collapsed="false">
      <c r="A78" s="21" t="s">
        <v>450</v>
      </c>
      <c r="B78" s="21" t="s">
        <v>388</v>
      </c>
      <c r="C78" s="21" t="s">
        <v>451</v>
      </c>
      <c r="D78" s="21" t="s">
        <v>452</v>
      </c>
      <c r="E78" s="21" t="s">
        <v>453</v>
      </c>
      <c r="F78" s="21" t="s">
        <v>454</v>
      </c>
      <c r="G78" s="22" t="s">
        <v>36</v>
      </c>
      <c r="H78" s="23"/>
      <c r="I78" s="22"/>
      <c r="J78" s="22"/>
      <c r="K78" s="22"/>
      <c r="L78" s="22"/>
    </row>
    <row r="79" customFormat="false" ht="35.05" hidden="false" customHeight="false" outlineLevel="0" collapsed="false">
      <c r="A79" s="21" t="s">
        <v>455</v>
      </c>
      <c r="B79" s="21" t="s">
        <v>388</v>
      </c>
      <c r="C79" s="21" t="s">
        <v>456</v>
      </c>
      <c r="D79" s="21" t="s">
        <v>457</v>
      </c>
      <c r="E79" s="21" t="s">
        <v>458</v>
      </c>
      <c r="F79" s="21" t="s">
        <v>459</v>
      </c>
      <c r="G79" s="22" t="s">
        <v>36</v>
      </c>
      <c r="H79" s="23"/>
      <c r="I79" s="22"/>
      <c r="J79" s="22"/>
      <c r="K79" s="22"/>
      <c r="L79" s="22"/>
    </row>
    <row r="80" customFormat="false" ht="15" hidden="false" customHeight="false" outlineLevel="0" collapsed="false">
      <c r="A80" s="20" t="s">
        <v>42</v>
      </c>
      <c r="B80" s="8"/>
      <c r="C80" s="8"/>
      <c r="D80" s="8"/>
      <c r="E80" s="8"/>
      <c r="F80" s="8"/>
      <c r="G80" s="24"/>
      <c r="H80" s="8"/>
      <c r="I80" s="8"/>
      <c r="J80" s="8"/>
      <c r="K80" s="24"/>
      <c r="L80" s="8"/>
    </row>
    <row r="81" customFormat="false" ht="23.85" hidden="false" customHeight="false" outlineLevel="0" collapsed="false">
      <c r="A81" s="21" t="s">
        <v>460</v>
      </c>
      <c r="B81" s="21" t="s">
        <v>461</v>
      </c>
      <c r="C81" s="21" t="s">
        <v>462</v>
      </c>
      <c r="D81" s="21" t="s">
        <v>463</v>
      </c>
      <c r="E81" s="21" t="s">
        <v>464</v>
      </c>
      <c r="F81" s="21" t="s">
        <v>465</v>
      </c>
      <c r="G81" s="22" t="s">
        <v>36</v>
      </c>
      <c r="H81" s="23"/>
      <c r="I81" s="22"/>
      <c r="J81" s="22"/>
      <c r="K81" s="22"/>
      <c r="L81" s="22"/>
    </row>
    <row r="82" customFormat="false" ht="57.45" hidden="false" customHeight="false" outlineLevel="0" collapsed="false">
      <c r="A82" s="21" t="s">
        <v>466</v>
      </c>
      <c r="B82" s="21" t="s">
        <v>461</v>
      </c>
      <c r="C82" s="21" t="s">
        <v>467</v>
      </c>
      <c r="D82" s="21" t="s">
        <v>468</v>
      </c>
      <c r="E82" s="21" t="s">
        <v>469</v>
      </c>
      <c r="F82" s="21" t="s">
        <v>470</v>
      </c>
      <c r="G82" s="22" t="s">
        <v>36</v>
      </c>
      <c r="H82" s="23"/>
      <c r="I82" s="22"/>
      <c r="J82" s="22"/>
      <c r="K82" s="22"/>
      <c r="L82" s="22"/>
    </row>
    <row r="83" customFormat="false" ht="23.85" hidden="false" customHeight="false" outlineLevel="0" collapsed="false">
      <c r="A83" s="21" t="s">
        <v>471</v>
      </c>
      <c r="B83" s="21" t="s">
        <v>461</v>
      </c>
      <c r="C83" s="21" t="s">
        <v>472</v>
      </c>
      <c r="D83" s="21" t="s">
        <v>473</v>
      </c>
      <c r="E83" s="21" t="s">
        <v>474</v>
      </c>
      <c r="F83" s="21" t="s">
        <v>329</v>
      </c>
      <c r="G83" s="22" t="s">
        <v>36</v>
      </c>
      <c r="H83" s="23"/>
      <c r="I83" s="22"/>
      <c r="J83" s="22"/>
      <c r="K83" s="22"/>
      <c r="L83" s="22"/>
    </row>
    <row r="84" customFormat="false" ht="23.85" hidden="false" customHeight="false" outlineLevel="0" collapsed="false">
      <c r="A84" s="21" t="s">
        <v>475</v>
      </c>
      <c r="B84" s="21" t="s">
        <v>461</v>
      </c>
      <c r="C84" s="21" t="s">
        <v>476</v>
      </c>
      <c r="D84" s="21" t="s">
        <v>477</v>
      </c>
      <c r="E84" s="21" t="s">
        <v>478</v>
      </c>
      <c r="F84" s="21" t="s">
        <v>329</v>
      </c>
      <c r="G84" s="22" t="s">
        <v>36</v>
      </c>
      <c r="H84" s="23"/>
      <c r="I84" s="22"/>
      <c r="J84" s="22"/>
      <c r="K84" s="22"/>
      <c r="L84" s="22"/>
    </row>
    <row r="85" customFormat="false" ht="35.05" hidden="false" customHeight="false" outlineLevel="0" collapsed="false">
      <c r="A85" s="21" t="s">
        <v>479</v>
      </c>
      <c r="B85" s="21" t="s">
        <v>461</v>
      </c>
      <c r="C85" s="21" t="s">
        <v>480</v>
      </c>
      <c r="D85" s="21" t="s">
        <v>481</v>
      </c>
      <c r="E85" s="21" t="s">
        <v>482</v>
      </c>
      <c r="F85" s="21" t="s">
        <v>483</v>
      </c>
      <c r="G85" s="22" t="s">
        <v>36</v>
      </c>
      <c r="H85" s="23"/>
      <c r="I85" s="22"/>
      <c r="J85" s="22"/>
      <c r="K85" s="22"/>
      <c r="L85" s="22"/>
    </row>
    <row r="86" customFormat="false" ht="15" hidden="false" customHeight="false" outlineLevel="0" collapsed="false">
      <c r="A86" s="20" t="s">
        <v>43</v>
      </c>
      <c r="B86" s="8"/>
      <c r="C86" s="8"/>
      <c r="D86" s="8"/>
      <c r="E86" s="8"/>
      <c r="F86" s="8"/>
      <c r="G86" s="24"/>
      <c r="H86" s="8"/>
      <c r="I86" s="8"/>
      <c r="J86" s="8"/>
      <c r="K86" s="24"/>
      <c r="L86" s="8"/>
    </row>
    <row r="87" customFormat="false" ht="23.85" hidden="false" customHeight="false" outlineLevel="0" collapsed="false">
      <c r="A87" s="21" t="s">
        <v>484</v>
      </c>
      <c r="B87" s="21" t="s">
        <v>485</v>
      </c>
      <c r="C87" s="21" t="s">
        <v>486</v>
      </c>
      <c r="D87" s="21" t="s">
        <v>487</v>
      </c>
      <c r="E87" s="21" t="s">
        <v>488</v>
      </c>
      <c r="F87" s="21" t="s">
        <v>489</v>
      </c>
      <c r="G87" s="22" t="s">
        <v>36</v>
      </c>
      <c r="H87" s="23"/>
      <c r="I87" s="22"/>
      <c r="J87" s="22"/>
      <c r="K87" s="22"/>
      <c r="L87" s="22"/>
    </row>
    <row r="88" customFormat="false" ht="35.05" hidden="false" customHeight="false" outlineLevel="0" collapsed="false">
      <c r="A88" s="21" t="s">
        <v>490</v>
      </c>
      <c r="B88" s="21" t="s">
        <v>485</v>
      </c>
      <c r="C88" s="21" t="s">
        <v>491</v>
      </c>
      <c r="D88" s="21" t="s">
        <v>492</v>
      </c>
      <c r="E88" s="21" t="s">
        <v>493</v>
      </c>
      <c r="F88" s="21" t="s">
        <v>494</v>
      </c>
      <c r="G88" s="22" t="s">
        <v>36</v>
      </c>
      <c r="H88" s="23"/>
      <c r="I88" s="22"/>
      <c r="J88" s="22"/>
      <c r="K88" s="22"/>
      <c r="L88" s="22"/>
    </row>
    <row r="89" customFormat="false" ht="23.85" hidden="false" customHeight="false" outlineLevel="0" collapsed="false">
      <c r="A89" s="21" t="s">
        <v>495</v>
      </c>
      <c r="B89" s="21" t="s">
        <v>485</v>
      </c>
      <c r="C89" s="21" t="s">
        <v>496</v>
      </c>
      <c r="D89" s="21" t="s">
        <v>497</v>
      </c>
      <c r="E89" s="21" t="s">
        <v>498</v>
      </c>
      <c r="F89" s="21" t="s">
        <v>499</v>
      </c>
      <c r="G89" s="22" t="s">
        <v>36</v>
      </c>
      <c r="H89" s="23"/>
      <c r="I89" s="22"/>
      <c r="J89" s="22"/>
      <c r="K89" s="22"/>
      <c r="L89" s="22"/>
    </row>
    <row r="90" customFormat="false" ht="35.05" hidden="false" customHeight="false" outlineLevel="0" collapsed="false">
      <c r="A90" s="21" t="s">
        <v>500</v>
      </c>
      <c r="B90" s="21" t="s">
        <v>485</v>
      </c>
      <c r="C90" s="21" t="s">
        <v>501</v>
      </c>
      <c r="D90" s="21" t="s">
        <v>502</v>
      </c>
      <c r="E90" s="21" t="s">
        <v>503</v>
      </c>
      <c r="F90" s="21" t="s">
        <v>504</v>
      </c>
      <c r="G90" s="22" t="s">
        <v>36</v>
      </c>
      <c r="H90" s="23"/>
      <c r="I90" s="22"/>
      <c r="J90" s="22"/>
      <c r="K90" s="22"/>
      <c r="L90" s="22"/>
    </row>
    <row r="91" customFormat="false" ht="23.85" hidden="false" customHeight="false" outlineLevel="0" collapsed="false">
      <c r="A91" s="21" t="s">
        <v>505</v>
      </c>
      <c r="B91" s="21" t="s">
        <v>485</v>
      </c>
      <c r="C91" s="21" t="s">
        <v>506</v>
      </c>
      <c r="D91" s="21" t="s">
        <v>507</v>
      </c>
      <c r="E91" s="21" t="s">
        <v>508</v>
      </c>
      <c r="F91" s="21" t="s">
        <v>509</v>
      </c>
      <c r="G91" s="22" t="s">
        <v>36</v>
      </c>
      <c r="H91" s="23"/>
      <c r="I91" s="22"/>
      <c r="J91" s="22"/>
      <c r="K91" s="22"/>
      <c r="L91" s="22"/>
    </row>
    <row r="92" customFormat="false" ht="15" hidden="false" customHeight="false" outlineLevel="0" collapsed="false">
      <c r="A92" s="20" t="s">
        <v>44</v>
      </c>
      <c r="B92" s="8"/>
      <c r="C92" s="8"/>
      <c r="D92" s="8"/>
      <c r="E92" s="8"/>
      <c r="F92" s="8"/>
      <c r="G92" s="24"/>
      <c r="H92" s="8"/>
      <c r="I92" s="8"/>
      <c r="J92" s="8"/>
      <c r="K92" s="24"/>
      <c r="L92" s="8"/>
    </row>
    <row r="93" customFormat="false" ht="23.85" hidden="false" customHeight="false" outlineLevel="0" collapsed="false">
      <c r="A93" s="21" t="s">
        <v>510</v>
      </c>
      <c r="B93" s="21" t="s">
        <v>511</v>
      </c>
      <c r="C93" s="21" t="s">
        <v>512</v>
      </c>
      <c r="D93" s="21" t="s">
        <v>513</v>
      </c>
      <c r="E93" s="21" t="s">
        <v>514</v>
      </c>
      <c r="F93" s="21" t="s">
        <v>515</v>
      </c>
      <c r="G93" s="22" t="s">
        <v>36</v>
      </c>
      <c r="H93" s="23"/>
      <c r="I93" s="22"/>
      <c r="J93" s="22"/>
      <c r="K93" s="22"/>
      <c r="L93" s="22"/>
    </row>
    <row r="94" customFormat="false" ht="23.85" hidden="false" customHeight="false" outlineLevel="0" collapsed="false">
      <c r="A94" s="21" t="s">
        <v>516</v>
      </c>
      <c r="B94" s="21" t="s">
        <v>511</v>
      </c>
      <c r="C94" s="21" t="s">
        <v>517</v>
      </c>
      <c r="D94" s="21" t="s">
        <v>518</v>
      </c>
      <c r="E94" s="21" t="s">
        <v>519</v>
      </c>
      <c r="F94" s="21" t="s">
        <v>520</v>
      </c>
      <c r="G94" s="22" t="s">
        <v>36</v>
      </c>
      <c r="H94" s="23"/>
      <c r="I94" s="22"/>
      <c r="J94" s="22"/>
      <c r="K94" s="22"/>
      <c r="L94" s="22"/>
    </row>
    <row r="95" customFormat="false" ht="23.85" hidden="false" customHeight="false" outlineLevel="0" collapsed="false">
      <c r="A95" s="21" t="s">
        <v>521</v>
      </c>
      <c r="B95" s="21" t="s">
        <v>511</v>
      </c>
      <c r="C95" s="21" t="s">
        <v>522</v>
      </c>
      <c r="D95" s="21" t="s">
        <v>523</v>
      </c>
      <c r="E95" s="21" t="s">
        <v>524</v>
      </c>
      <c r="F95" s="21" t="s">
        <v>525</v>
      </c>
      <c r="G95" s="22" t="s">
        <v>36</v>
      </c>
      <c r="H95" s="23"/>
      <c r="I95" s="22"/>
      <c r="J95" s="22"/>
      <c r="K95" s="22"/>
      <c r="L95" s="22"/>
    </row>
    <row r="96" customFormat="false" ht="23.85" hidden="false" customHeight="false" outlineLevel="0" collapsed="false">
      <c r="A96" s="21" t="s">
        <v>526</v>
      </c>
      <c r="B96" s="21" t="s">
        <v>511</v>
      </c>
      <c r="C96" s="21" t="s">
        <v>527</v>
      </c>
      <c r="D96" s="21" t="s">
        <v>528</v>
      </c>
      <c r="E96" s="21" t="s">
        <v>529</v>
      </c>
      <c r="F96" s="21" t="s">
        <v>530</v>
      </c>
      <c r="G96" s="22" t="s">
        <v>36</v>
      </c>
      <c r="H96" s="23"/>
      <c r="I96" s="22"/>
      <c r="J96" s="22"/>
      <c r="K96" s="22"/>
      <c r="L96" s="22"/>
    </row>
    <row r="97" customFormat="false" ht="15" hidden="false" customHeight="false" outlineLevel="0" collapsed="false">
      <c r="A97" s="20" t="s">
        <v>45</v>
      </c>
      <c r="B97" s="8"/>
      <c r="C97" s="8"/>
      <c r="D97" s="8"/>
      <c r="E97" s="8"/>
      <c r="F97" s="8"/>
      <c r="G97" s="24"/>
      <c r="H97" s="8"/>
      <c r="I97" s="8"/>
      <c r="J97" s="8"/>
      <c r="K97" s="24"/>
      <c r="L97" s="8"/>
    </row>
    <row r="98" customFormat="false" ht="15" hidden="false" customHeight="false" outlineLevel="0" collapsed="false">
      <c r="A98" s="21" t="s">
        <v>531</v>
      </c>
      <c r="B98" s="21" t="s">
        <v>532</v>
      </c>
      <c r="C98" s="21" t="s">
        <v>533</v>
      </c>
      <c r="D98" s="21" t="s">
        <v>534</v>
      </c>
      <c r="E98" s="21" t="s">
        <v>535</v>
      </c>
      <c r="F98" s="21" t="s">
        <v>536</v>
      </c>
      <c r="G98" s="22" t="s">
        <v>36</v>
      </c>
      <c r="H98" s="23"/>
      <c r="I98" s="22"/>
      <c r="J98" s="22"/>
      <c r="K98" s="22"/>
      <c r="L98" s="22"/>
    </row>
    <row r="99" customFormat="false" ht="23.85" hidden="false" customHeight="false" outlineLevel="0" collapsed="false">
      <c r="A99" s="21" t="s">
        <v>537</v>
      </c>
      <c r="B99" s="21" t="s">
        <v>532</v>
      </c>
      <c r="C99" s="21" t="s">
        <v>538</v>
      </c>
      <c r="D99" s="21" t="s">
        <v>539</v>
      </c>
      <c r="E99" s="21" t="s">
        <v>540</v>
      </c>
      <c r="F99" s="21" t="s">
        <v>541</v>
      </c>
      <c r="G99" s="22" t="s">
        <v>36</v>
      </c>
      <c r="H99" s="23"/>
      <c r="I99" s="22"/>
      <c r="J99" s="22"/>
      <c r="K99" s="22"/>
      <c r="L99" s="22"/>
    </row>
    <row r="100" customFormat="false" ht="23.85" hidden="false" customHeight="false" outlineLevel="0" collapsed="false">
      <c r="A100" s="21" t="s">
        <v>542</v>
      </c>
      <c r="B100" s="21" t="s">
        <v>532</v>
      </c>
      <c r="C100" s="21" t="s">
        <v>543</v>
      </c>
      <c r="D100" s="21" t="s">
        <v>544</v>
      </c>
      <c r="E100" s="21" t="s">
        <v>545</v>
      </c>
      <c r="F100" s="21" t="s">
        <v>546</v>
      </c>
      <c r="G100" s="22" t="s">
        <v>36</v>
      </c>
      <c r="H100" s="23"/>
      <c r="I100" s="22"/>
      <c r="J100" s="22"/>
      <c r="K100" s="22"/>
      <c r="L100" s="22"/>
    </row>
    <row r="101" customFormat="false" ht="23.85" hidden="false" customHeight="false" outlineLevel="0" collapsed="false">
      <c r="A101" s="21" t="s">
        <v>547</v>
      </c>
      <c r="B101" s="21" t="s">
        <v>532</v>
      </c>
      <c r="C101" s="21" t="s">
        <v>548</v>
      </c>
      <c r="D101" s="21" t="s">
        <v>549</v>
      </c>
      <c r="E101" s="21" t="s">
        <v>545</v>
      </c>
      <c r="F101" s="21" t="s">
        <v>550</v>
      </c>
      <c r="G101" s="22" t="s">
        <v>36</v>
      </c>
      <c r="H101" s="23"/>
      <c r="I101" s="22"/>
      <c r="J101" s="22"/>
      <c r="K101" s="22"/>
      <c r="L101" s="22"/>
    </row>
    <row r="102" customFormat="false" ht="23.85" hidden="false" customHeight="false" outlineLevel="0" collapsed="false">
      <c r="A102" s="21" t="s">
        <v>551</v>
      </c>
      <c r="B102" s="21" t="s">
        <v>532</v>
      </c>
      <c r="C102" s="21" t="s">
        <v>552</v>
      </c>
      <c r="D102" s="21" t="s">
        <v>553</v>
      </c>
      <c r="E102" s="21" t="s">
        <v>554</v>
      </c>
      <c r="F102" s="21" t="s">
        <v>555</v>
      </c>
      <c r="G102" s="22" t="s">
        <v>36</v>
      </c>
      <c r="H102" s="23"/>
      <c r="I102" s="22"/>
      <c r="J102" s="22"/>
      <c r="K102" s="22"/>
      <c r="L102" s="22"/>
    </row>
  </sheetData>
  <autoFilter ref="A4:L102"/>
  <conditionalFormatting sqref="G6:G102">
    <cfRule type="cellIs" priority="2" operator="equal" aboveAverage="0" equalAverage="0" bottom="0" percent="0" rank="0" text="" dxfId="6">
      <formula>"Pass"</formula>
    </cfRule>
    <cfRule type="cellIs" priority="3" operator="equal" aboveAverage="0" equalAverage="0" bottom="0" percent="0" rank="0" text="" dxfId="7">
      <formula>"Fail"</formula>
    </cfRule>
    <cfRule type="cellIs" priority="4" operator="equal" aboveAverage="0" equalAverage="0" bottom="0" percent="0" rank="0" text="" dxfId="8">
      <formula>"N/A"</formula>
    </cfRule>
  </conditionalFormatting>
  <conditionalFormatting sqref="K6:K102">
    <cfRule type="expression" priority="5" aboveAverage="0" equalAverage="0" bottom="0" percent="0" rank="0" text="" dxfId="7">
      <formula>AND($G6="Fail",$K6="")</formula>
    </cfRule>
  </conditionalFormatting>
  <dataValidations count="1">
    <dataValidation allowBlank="false" error="Choose Not started, Pass, Fail or N/A." errorStyle="stop" errorTitle="Status" operator="between" showDropDown="false" showErrorMessage="true" showInputMessage="false" sqref="G6:G102" type="list">
      <formula1>"Not started,Pass,Fail,N/A"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5" min="4" style="0" width="22"/>
    <col collapsed="false" customWidth="true" hidden="false" outlineLevel="0" max="6" min="6" style="0" width="14"/>
    <col collapsed="false" customWidth="true" hidden="false" outlineLevel="0" max="7" min="7" style="0" width="18"/>
    <col collapsed="false" customWidth="true" hidden="false" outlineLevel="0" max="8" min="8" style="0" width="24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556</v>
      </c>
    </row>
    <row r="2" customFormat="false" ht="15" hidden="false" customHeight="false" outlineLevel="0" collapsed="false">
      <c r="A2" s="2" t="s">
        <v>557</v>
      </c>
    </row>
    <row r="4" customFormat="false" ht="23.85" hidden="false" customHeight="false" outlineLevel="0" collapsed="false">
      <c r="A4" s="9" t="s">
        <v>558</v>
      </c>
      <c r="B4" s="9" t="s">
        <v>559</v>
      </c>
      <c r="C4" s="9" t="s">
        <v>560</v>
      </c>
      <c r="D4" s="9" t="s">
        <v>561</v>
      </c>
      <c r="E4" s="9" t="s">
        <v>562</v>
      </c>
      <c r="F4" s="9" t="s">
        <v>563</v>
      </c>
      <c r="G4" s="9" t="s">
        <v>564</v>
      </c>
      <c r="H4" s="9" t="s">
        <v>565</v>
      </c>
      <c r="I4" s="9" t="s">
        <v>108</v>
      </c>
    </row>
    <row r="5" customFormat="false" ht="23.85" hidden="false" customHeight="false" outlineLevel="0" collapsed="false">
      <c r="A5" s="25" t="s">
        <v>566</v>
      </c>
      <c r="B5" s="25" t="s">
        <v>567</v>
      </c>
      <c r="C5" s="25" t="s">
        <v>568</v>
      </c>
      <c r="D5" s="26" t="n">
        <v>46316.3958333333</v>
      </c>
      <c r="E5" s="26" t="n">
        <v>46316.3979166667</v>
      </c>
      <c r="F5" s="27" t="n">
        <f aca="false">IF(AND(ISNUMBER(D5),ISNUMBER(E5)),E5-D5,"")</f>
        <v>0.00208333333333333</v>
      </c>
      <c r="G5" s="25" t="s">
        <v>569</v>
      </c>
      <c r="H5" s="25" t="s">
        <v>570</v>
      </c>
      <c r="I5" s="25" t="s">
        <v>571</v>
      </c>
    </row>
    <row r="6" customFormat="false" ht="15" hidden="false" customHeight="false" outlineLevel="0" collapsed="false">
      <c r="A6" s="28"/>
      <c r="B6" s="28"/>
      <c r="C6" s="28"/>
      <c r="D6" s="29"/>
      <c r="E6" s="29"/>
      <c r="F6" s="30" t="str">
        <f aca="false">IF(AND(ISNUMBER(D6),ISNUMBER(E6)),E6-D6,"")</f>
        <v/>
      </c>
      <c r="G6" s="28"/>
      <c r="H6" s="28"/>
      <c r="I6" s="28"/>
    </row>
    <row r="7" customFormat="false" ht="15" hidden="false" customHeight="false" outlineLevel="0" collapsed="false">
      <c r="A7" s="28"/>
      <c r="B7" s="28"/>
      <c r="C7" s="28"/>
      <c r="D7" s="29"/>
      <c r="E7" s="29"/>
      <c r="F7" s="30" t="str">
        <f aca="false">IF(AND(ISNUMBER(D7),ISNUMBER(E7)),E7-D7,"")</f>
        <v/>
      </c>
      <c r="G7" s="28"/>
      <c r="H7" s="28"/>
      <c r="I7" s="28"/>
    </row>
    <row r="8" customFormat="false" ht="15" hidden="false" customHeight="false" outlineLevel="0" collapsed="false">
      <c r="A8" s="28"/>
      <c r="B8" s="28"/>
      <c r="C8" s="28"/>
      <c r="D8" s="29"/>
      <c r="E8" s="29"/>
      <c r="F8" s="30" t="str">
        <f aca="false">IF(AND(ISNUMBER(D8),ISNUMBER(E8)),E8-D8,"")</f>
        <v/>
      </c>
      <c r="G8" s="28"/>
      <c r="H8" s="28"/>
      <c r="I8" s="28"/>
    </row>
    <row r="9" customFormat="false" ht="15" hidden="false" customHeight="false" outlineLevel="0" collapsed="false">
      <c r="A9" s="28"/>
      <c r="B9" s="28"/>
      <c r="C9" s="28"/>
      <c r="D9" s="29"/>
      <c r="E9" s="29"/>
      <c r="F9" s="30" t="str">
        <f aca="false">IF(AND(ISNUMBER(D9),ISNUMBER(E9)),E9-D9,"")</f>
        <v/>
      </c>
      <c r="G9" s="28"/>
      <c r="H9" s="28"/>
      <c r="I9" s="28"/>
    </row>
    <row r="10" customFormat="false" ht="15" hidden="false" customHeight="false" outlineLevel="0" collapsed="false">
      <c r="A10" s="28"/>
      <c r="B10" s="28"/>
      <c r="C10" s="28"/>
      <c r="D10" s="29"/>
      <c r="E10" s="29"/>
      <c r="F10" s="30" t="str">
        <f aca="false">IF(AND(ISNUMBER(D10),ISNUMBER(E10)),E10-D10,"")</f>
        <v/>
      </c>
      <c r="G10" s="28"/>
      <c r="H10" s="28"/>
      <c r="I10" s="28"/>
    </row>
    <row r="11" customFormat="false" ht="15" hidden="false" customHeight="false" outlineLevel="0" collapsed="false">
      <c r="A11" s="28"/>
      <c r="B11" s="28"/>
      <c r="C11" s="28"/>
      <c r="D11" s="29"/>
      <c r="E11" s="29"/>
      <c r="F11" s="30" t="str">
        <f aca="false">IF(AND(ISNUMBER(D11),ISNUMBER(E11)),E11-D11,"")</f>
        <v/>
      </c>
      <c r="G11" s="28"/>
      <c r="H11" s="28"/>
      <c r="I11" s="28"/>
    </row>
    <row r="12" customFormat="false" ht="15" hidden="false" customHeight="false" outlineLevel="0" collapsed="false">
      <c r="A12" s="28"/>
      <c r="B12" s="28"/>
      <c r="C12" s="28"/>
      <c r="D12" s="29"/>
      <c r="E12" s="29"/>
      <c r="F12" s="30" t="str">
        <f aca="false">IF(AND(ISNUMBER(D12),ISNUMBER(E12)),E12-D12,"")</f>
        <v/>
      </c>
      <c r="G12" s="28"/>
      <c r="H12" s="28"/>
      <c r="I12" s="28"/>
    </row>
    <row r="13" customFormat="false" ht="15" hidden="false" customHeight="false" outlineLevel="0" collapsed="false">
      <c r="A13" s="28"/>
      <c r="B13" s="28"/>
      <c r="C13" s="28"/>
      <c r="D13" s="29"/>
      <c r="E13" s="29"/>
      <c r="F13" s="30" t="str">
        <f aca="false">IF(AND(ISNUMBER(D13),ISNUMBER(E13)),E13-D13,"")</f>
        <v/>
      </c>
      <c r="G13" s="28"/>
      <c r="H13" s="28"/>
      <c r="I13" s="28"/>
    </row>
    <row r="14" customFormat="false" ht="15" hidden="false" customHeight="false" outlineLevel="0" collapsed="false">
      <c r="A14" s="28"/>
      <c r="B14" s="28"/>
      <c r="C14" s="28"/>
      <c r="D14" s="29"/>
      <c r="E14" s="29"/>
      <c r="F14" s="30" t="str">
        <f aca="false">IF(AND(ISNUMBER(D14),ISNUMBER(E14)),E14-D14,"")</f>
        <v/>
      </c>
      <c r="G14" s="28"/>
      <c r="H14" s="28"/>
      <c r="I14" s="28"/>
    </row>
    <row r="15" customFormat="false" ht="15" hidden="false" customHeight="false" outlineLevel="0" collapsed="false">
      <c r="A15" s="28"/>
      <c r="B15" s="28"/>
      <c r="C15" s="28"/>
      <c r="D15" s="29"/>
      <c r="E15" s="29"/>
      <c r="F15" s="30" t="str">
        <f aca="false">IF(AND(ISNUMBER(D15),ISNUMBER(E15)),E15-D15,"")</f>
        <v/>
      </c>
      <c r="G15" s="28"/>
      <c r="H15" s="28"/>
      <c r="I15" s="28"/>
    </row>
    <row r="16" customFormat="false" ht="15" hidden="false" customHeight="false" outlineLevel="0" collapsed="false">
      <c r="A16" s="28"/>
      <c r="B16" s="28"/>
      <c r="C16" s="28"/>
      <c r="D16" s="29"/>
      <c r="E16" s="29"/>
      <c r="F16" s="30" t="str">
        <f aca="false">IF(AND(ISNUMBER(D16),ISNUMBER(E16)),E16-D16,"")</f>
        <v/>
      </c>
      <c r="G16" s="28"/>
      <c r="H16" s="28"/>
      <c r="I16" s="28"/>
    </row>
    <row r="19" customFormat="false" ht="15" hidden="false" customHeight="false" outlineLevel="0" collapsed="false">
      <c r="A19" s="13" t="s">
        <v>572</v>
      </c>
    </row>
    <row r="20" customFormat="false" ht="23.85" hidden="false" customHeight="false" outlineLevel="0" collapsed="false">
      <c r="A20" s="9" t="s">
        <v>573</v>
      </c>
      <c r="B20" s="9" t="s">
        <v>574</v>
      </c>
      <c r="C20" s="9"/>
      <c r="D20" s="9" t="s">
        <v>575</v>
      </c>
      <c r="E20" s="9" t="s">
        <v>576</v>
      </c>
      <c r="F20" s="9"/>
      <c r="G20" s="9" t="s">
        <v>108</v>
      </c>
    </row>
    <row r="21" customFormat="false" ht="15" hidden="false" customHeight="false" outlineLevel="0" collapsed="false">
      <c r="A21" s="7" t="n">
        <v>1</v>
      </c>
      <c r="B21" s="7" t="s">
        <v>577</v>
      </c>
      <c r="D21" s="31" t="n">
        <v>0.000891203703703704</v>
      </c>
      <c r="E21" s="32"/>
      <c r="G21" s="6"/>
    </row>
    <row r="22" customFormat="false" ht="15" hidden="false" customHeight="false" outlineLevel="0" collapsed="false">
      <c r="A22" s="7" t="n">
        <v>2</v>
      </c>
      <c r="B22" s="7" t="s">
        <v>578</v>
      </c>
      <c r="D22" s="31" t="n">
        <v>0.0475</v>
      </c>
      <c r="E22" s="32"/>
      <c r="G22" s="6"/>
    </row>
    <row r="23" customFormat="false" ht="15" hidden="false" customHeight="false" outlineLevel="0" collapsed="false">
      <c r="A23" s="7" t="n">
        <v>3</v>
      </c>
      <c r="B23" s="7" t="s">
        <v>579</v>
      </c>
      <c r="D23" s="31" t="n">
        <v>0.0502199074074074</v>
      </c>
      <c r="E23" s="32"/>
      <c r="G23" s="6"/>
    </row>
    <row r="24" customFormat="false" ht="15" hidden="false" customHeight="false" outlineLevel="0" collapsed="false">
      <c r="A24" s="7" t="n">
        <v>4</v>
      </c>
      <c r="B24" s="7" t="s">
        <v>580</v>
      </c>
      <c r="D24" s="31" t="n">
        <v>0.0478356481481482</v>
      </c>
      <c r="E24" s="32"/>
      <c r="G24" s="6"/>
    </row>
    <row r="25" customFormat="false" ht="15" hidden="false" customHeight="false" outlineLevel="0" collapsed="false">
      <c r="A25" s="7" t="n">
        <v>5</v>
      </c>
      <c r="B25" s="7" t="s">
        <v>581</v>
      </c>
      <c r="D25" s="31" t="n">
        <v>1.15740740740741E-005</v>
      </c>
      <c r="E25" s="32"/>
      <c r="G25" s="6"/>
    </row>
    <row r="26" customFormat="false" ht="15" hidden="false" customHeight="false" outlineLevel="0" collapsed="false">
      <c r="A26" s="7" t="n">
        <v>6</v>
      </c>
      <c r="B26" s="7" t="s">
        <v>582</v>
      </c>
      <c r="D26" s="31" t="n">
        <v>2.31481481481482E-005</v>
      </c>
      <c r="E26" s="32"/>
      <c r="G26" s="6"/>
    </row>
    <row r="27" customFormat="false" ht="15" hidden="false" customHeight="false" outlineLevel="0" collapsed="false">
      <c r="A27" s="7" t="n">
        <v>7</v>
      </c>
      <c r="B27" s="7" t="s">
        <v>583</v>
      </c>
      <c r="D27" s="31" t="n">
        <v>0.000717592592592593</v>
      </c>
      <c r="E27" s="32"/>
      <c r="G27" s="6"/>
    </row>
    <row r="28" customFormat="false" ht="15" hidden="false" customHeight="false" outlineLevel="0" collapsed="false">
      <c r="A28" s="7" t="n">
        <v>8</v>
      </c>
      <c r="B28" s="7" t="s">
        <v>565</v>
      </c>
      <c r="D28" s="31" t="n">
        <v>1.15740740740741E-005</v>
      </c>
      <c r="E28" s="32"/>
      <c r="G28" s="6"/>
    </row>
    <row r="29" customFormat="false" ht="15" hidden="false" customHeight="false" outlineLevel="0" collapsed="false">
      <c r="B29" s="5" t="s">
        <v>49</v>
      </c>
      <c r="D29" s="33" t="n">
        <f aca="false">SUM(D21:D28)</f>
        <v>0.147210648148148</v>
      </c>
      <c r="E29" s="33" t="n">
        <f aca="false">SUM(E21:E28)</f>
        <v>0</v>
      </c>
    </row>
    <row r="30" customFormat="false" ht="15" hidden="false" customHeight="false" outlineLevel="0" collapsed="false">
      <c r="A30" s="2" t="s">
        <v>584</v>
      </c>
    </row>
  </sheetData>
  <dataValidations count="3">
    <dataValidation allowBlank="true" errorStyle="stop" operator="between" showDropDown="false" showErrorMessage="false" showInputMessage="false" sqref="B5:B16" type="list">
      <formula1>"Quick trial,Full replication,Partial (resumed)"</formula1>
      <formula2>0</formula2>
    </dataValidation>
    <dataValidation allowBlank="true" errorStyle="stop" operator="between" showDropDown="false" showErrorMessage="false" showInputMessage="false" sqref="G5:G16" type="list">
      <formula1>"Finished,Failed,Interrupted"</formula1>
      <formula2>0</formula2>
    </dataValidation>
    <dataValidation allowBlank="true" errorStyle="stop" operator="between" showDropDown="false" showErrorMessage="false" showInputMessage="false" sqref="H5:H16" type="list">
      <formula1>"REPRODUCED EXACTLY,REPRODUCED,NOT REPRODUCED,N/A (trial)"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4" min="3" style="0" width="11"/>
    <col collapsed="false" customWidth="true" hidden="false" outlineLevel="0" max="5" min="5" style="0" width="50"/>
    <col collapsed="false" customWidth="true" hidden="false" outlineLevel="0" max="6" min="6" style="0" width="36"/>
    <col collapsed="false" customWidth="true" hidden="false" outlineLevel="0" max="7" min="7" style="0" width="26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13"/>
    <col collapsed="false" customWidth="true" hidden="false" outlineLevel="0" max="11" min="11" style="0" width="14"/>
  </cols>
  <sheetData>
    <row r="1" customFormat="false" ht="17.35" hidden="false" customHeight="false" outlineLevel="0" collapsed="false">
      <c r="A1" s="1" t="s">
        <v>585</v>
      </c>
    </row>
    <row r="2" customFormat="false" ht="15" hidden="false" customHeight="false" outlineLevel="0" collapsed="false">
      <c r="A2" s="2" t="s">
        <v>586</v>
      </c>
    </row>
    <row r="4" customFormat="false" ht="15" hidden="false" customHeight="false" outlineLevel="0" collapsed="false">
      <c r="A4" s="9" t="s">
        <v>107</v>
      </c>
      <c r="B4" s="9" t="s">
        <v>587</v>
      </c>
      <c r="C4" s="9" t="s">
        <v>588</v>
      </c>
      <c r="D4" s="9" t="s">
        <v>48</v>
      </c>
      <c r="E4" s="9" t="s">
        <v>574</v>
      </c>
      <c r="F4" s="9" t="s">
        <v>589</v>
      </c>
      <c r="G4" s="9" t="s">
        <v>590</v>
      </c>
      <c r="H4" s="9" t="s">
        <v>103</v>
      </c>
      <c r="I4" s="9" t="s">
        <v>591</v>
      </c>
      <c r="J4" s="9" t="s">
        <v>592</v>
      </c>
      <c r="K4" s="9" t="s">
        <v>593</v>
      </c>
    </row>
    <row r="5" customFormat="false" ht="35.05" hidden="false" customHeight="false" outlineLevel="0" collapsed="false">
      <c r="A5" s="25" t="s">
        <v>594</v>
      </c>
      <c r="B5" s="34" t="n">
        <v>46316</v>
      </c>
      <c r="C5" s="25" t="s">
        <v>306</v>
      </c>
      <c r="D5" s="25" t="s">
        <v>55</v>
      </c>
      <c r="E5" s="25" t="s">
        <v>595</v>
      </c>
      <c r="F5" s="25" t="s">
        <v>596</v>
      </c>
      <c r="G5" s="25" t="s">
        <v>597</v>
      </c>
      <c r="H5" s="25" t="s">
        <v>50</v>
      </c>
      <c r="I5" s="25" t="s">
        <v>598</v>
      </c>
      <c r="J5" s="34"/>
      <c r="K5" s="25"/>
    </row>
    <row r="6" customFormat="false" ht="15" hidden="false" customHeight="false" outlineLevel="0" collapsed="false">
      <c r="A6" s="28"/>
      <c r="B6" s="35"/>
      <c r="C6" s="28"/>
      <c r="D6" s="28"/>
      <c r="E6" s="28"/>
      <c r="F6" s="28"/>
      <c r="G6" s="28"/>
      <c r="H6" s="28"/>
      <c r="I6" s="28"/>
      <c r="J6" s="35"/>
      <c r="K6" s="28"/>
    </row>
    <row r="7" customFormat="false" ht="15" hidden="false" customHeight="false" outlineLevel="0" collapsed="false">
      <c r="A7" s="28"/>
      <c r="B7" s="35"/>
      <c r="C7" s="28"/>
      <c r="D7" s="28"/>
      <c r="E7" s="28"/>
      <c r="F7" s="28"/>
      <c r="G7" s="28"/>
      <c r="H7" s="28"/>
      <c r="I7" s="28"/>
      <c r="J7" s="35"/>
      <c r="K7" s="28"/>
    </row>
    <row r="8" customFormat="false" ht="15" hidden="false" customHeight="false" outlineLevel="0" collapsed="false">
      <c r="A8" s="28"/>
      <c r="B8" s="35"/>
      <c r="C8" s="28"/>
      <c r="D8" s="28"/>
      <c r="E8" s="28"/>
      <c r="F8" s="28"/>
      <c r="G8" s="28"/>
      <c r="H8" s="28"/>
      <c r="I8" s="28"/>
      <c r="J8" s="35"/>
      <c r="K8" s="28"/>
    </row>
    <row r="9" customFormat="false" ht="15" hidden="false" customHeight="false" outlineLevel="0" collapsed="false">
      <c r="A9" s="28"/>
      <c r="B9" s="35"/>
      <c r="C9" s="28"/>
      <c r="D9" s="28"/>
      <c r="E9" s="28"/>
      <c r="F9" s="28"/>
      <c r="G9" s="28"/>
      <c r="H9" s="28"/>
      <c r="I9" s="28"/>
      <c r="J9" s="35"/>
      <c r="K9" s="28"/>
    </row>
    <row r="10" customFormat="false" ht="15" hidden="false" customHeight="false" outlineLevel="0" collapsed="false">
      <c r="A10" s="28"/>
      <c r="B10" s="35"/>
      <c r="C10" s="28"/>
      <c r="D10" s="28"/>
      <c r="E10" s="28"/>
      <c r="F10" s="28"/>
      <c r="G10" s="28"/>
      <c r="H10" s="28"/>
      <c r="I10" s="28"/>
      <c r="J10" s="35"/>
      <c r="K10" s="28"/>
    </row>
    <row r="11" customFormat="false" ht="15" hidden="false" customHeight="false" outlineLevel="0" collapsed="false">
      <c r="A11" s="28"/>
      <c r="B11" s="35"/>
      <c r="C11" s="28"/>
      <c r="D11" s="28"/>
      <c r="E11" s="28"/>
      <c r="F11" s="28"/>
      <c r="G11" s="28"/>
      <c r="H11" s="28"/>
      <c r="I11" s="28"/>
      <c r="J11" s="35"/>
      <c r="K11" s="28"/>
    </row>
    <row r="12" customFormat="false" ht="15" hidden="false" customHeight="false" outlineLevel="0" collapsed="false">
      <c r="A12" s="28"/>
      <c r="B12" s="35"/>
      <c r="C12" s="28"/>
      <c r="D12" s="28"/>
      <c r="E12" s="28"/>
      <c r="F12" s="28"/>
      <c r="G12" s="28"/>
      <c r="H12" s="28"/>
      <c r="I12" s="28"/>
      <c r="J12" s="35"/>
      <c r="K12" s="28"/>
    </row>
    <row r="13" customFormat="false" ht="15" hidden="false" customHeight="false" outlineLevel="0" collapsed="false">
      <c r="A13" s="28"/>
      <c r="B13" s="35"/>
      <c r="C13" s="28"/>
      <c r="D13" s="28"/>
      <c r="E13" s="28"/>
      <c r="F13" s="28"/>
      <c r="G13" s="28"/>
      <c r="H13" s="28"/>
      <c r="I13" s="28"/>
      <c r="J13" s="35"/>
      <c r="K13" s="28"/>
    </row>
    <row r="14" customFormat="false" ht="15" hidden="false" customHeight="false" outlineLevel="0" collapsed="false">
      <c r="A14" s="28"/>
      <c r="B14" s="35"/>
      <c r="C14" s="28"/>
      <c r="D14" s="28"/>
      <c r="E14" s="28"/>
      <c r="F14" s="28"/>
      <c r="G14" s="28"/>
      <c r="H14" s="28"/>
      <c r="I14" s="28"/>
      <c r="J14" s="35"/>
      <c r="K14" s="28"/>
    </row>
    <row r="15" customFormat="false" ht="15" hidden="false" customHeight="false" outlineLevel="0" collapsed="false">
      <c r="A15" s="28"/>
      <c r="B15" s="35"/>
      <c r="C15" s="28"/>
      <c r="D15" s="28"/>
      <c r="E15" s="28"/>
      <c r="F15" s="28"/>
      <c r="G15" s="28"/>
      <c r="H15" s="28"/>
      <c r="I15" s="28"/>
      <c r="J15" s="35"/>
      <c r="K15" s="28"/>
    </row>
    <row r="16" customFormat="false" ht="15" hidden="false" customHeight="false" outlineLevel="0" collapsed="false">
      <c r="A16" s="28"/>
      <c r="B16" s="35"/>
      <c r="C16" s="28"/>
      <c r="D16" s="28"/>
      <c r="E16" s="28"/>
      <c r="F16" s="28"/>
      <c r="G16" s="28"/>
      <c r="H16" s="28"/>
      <c r="I16" s="28"/>
      <c r="J16" s="35"/>
      <c r="K16" s="28"/>
    </row>
    <row r="17" customFormat="false" ht="15" hidden="false" customHeight="false" outlineLevel="0" collapsed="false">
      <c r="A17" s="28"/>
      <c r="B17" s="35"/>
      <c r="C17" s="28"/>
      <c r="D17" s="28"/>
      <c r="E17" s="28"/>
      <c r="F17" s="28"/>
      <c r="G17" s="28"/>
      <c r="H17" s="28"/>
      <c r="I17" s="28"/>
      <c r="J17" s="35"/>
      <c r="K17" s="28"/>
    </row>
    <row r="18" customFormat="false" ht="15" hidden="false" customHeight="false" outlineLevel="0" collapsed="false">
      <c r="A18" s="28"/>
      <c r="B18" s="35"/>
      <c r="C18" s="28"/>
      <c r="D18" s="28"/>
      <c r="E18" s="28"/>
      <c r="F18" s="28"/>
      <c r="G18" s="28"/>
      <c r="H18" s="28"/>
      <c r="I18" s="28"/>
      <c r="J18" s="35"/>
      <c r="K18" s="28"/>
    </row>
    <row r="19" customFormat="false" ht="15" hidden="false" customHeight="false" outlineLevel="0" collapsed="false">
      <c r="A19" s="28"/>
      <c r="B19" s="35"/>
      <c r="C19" s="28"/>
      <c r="D19" s="28"/>
      <c r="E19" s="28"/>
      <c r="F19" s="28"/>
      <c r="G19" s="28"/>
      <c r="H19" s="28"/>
      <c r="I19" s="28"/>
      <c r="J19" s="35"/>
      <c r="K19" s="28"/>
    </row>
    <row r="20" customFormat="false" ht="15" hidden="false" customHeight="false" outlineLevel="0" collapsed="false">
      <c r="A20" s="28"/>
      <c r="B20" s="35"/>
      <c r="C20" s="28"/>
      <c r="D20" s="28"/>
      <c r="E20" s="28"/>
      <c r="F20" s="28"/>
      <c r="G20" s="28"/>
      <c r="H20" s="28"/>
      <c r="I20" s="28"/>
      <c r="J20" s="35"/>
      <c r="K20" s="28"/>
    </row>
    <row r="21" customFormat="false" ht="15" hidden="false" customHeight="false" outlineLevel="0" collapsed="false">
      <c r="A21" s="28"/>
      <c r="B21" s="35"/>
      <c r="C21" s="28"/>
      <c r="D21" s="28"/>
      <c r="E21" s="28"/>
      <c r="F21" s="28"/>
      <c r="G21" s="28"/>
      <c r="H21" s="28"/>
      <c r="I21" s="28"/>
      <c r="J21" s="35"/>
      <c r="K21" s="28"/>
    </row>
    <row r="22" customFormat="false" ht="15" hidden="false" customHeight="false" outlineLevel="0" collapsed="false">
      <c r="A22" s="28"/>
      <c r="B22" s="35"/>
      <c r="C22" s="28"/>
      <c r="D22" s="28"/>
      <c r="E22" s="28"/>
      <c r="F22" s="28"/>
      <c r="G22" s="28"/>
      <c r="H22" s="28"/>
      <c r="I22" s="28"/>
      <c r="J22" s="35"/>
      <c r="K22" s="28"/>
    </row>
    <row r="23" customFormat="false" ht="15" hidden="false" customHeight="false" outlineLevel="0" collapsed="false">
      <c r="A23" s="28"/>
      <c r="B23" s="35"/>
      <c r="C23" s="28"/>
      <c r="D23" s="28"/>
      <c r="E23" s="28"/>
      <c r="F23" s="28"/>
      <c r="G23" s="28"/>
      <c r="H23" s="28"/>
      <c r="I23" s="28"/>
      <c r="J23" s="35"/>
      <c r="K23" s="28"/>
    </row>
    <row r="24" customFormat="false" ht="15" hidden="false" customHeight="false" outlineLevel="0" collapsed="false">
      <c r="A24" s="28"/>
      <c r="B24" s="35"/>
      <c r="C24" s="28"/>
      <c r="D24" s="28"/>
      <c r="E24" s="28"/>
      <c r="F24" s="28"/>
      <c r="G24" s="28"/>
      <c r="H24" s="28"/>
      <c r="I24" s="28"/>
      <c r="J24" s="35"/>
      <c r="K24" s="28"/>
    </row>
    <row r="25" customFormat="false" ht="15" hidden="false" customHeight="false" outlineLevel="0" collapsed="false">
      <c r="A25" s="28"/>
      <c r="B25" s="35"/>
      <c r="C25" s="28"/>
      <c r="D25" s="28"/>
      <c r="E25" s="28"/>
      <c r="F25" s="28"/>
      <c r="G25" s="28"/>
      <c r="H25" s="28"/>
      <c r="I25" s="28"/>
      <c r="J25" s="35"/>
      <c r="K25" s="28"/>
    </row>
    <row r="26" customFormat="false" ht="15" hidden="false" customHeight="false" outlineLevel="0" collapsed="false">
      <c r="A26" s="28"/>
      <c r="B26" s="35"/>
      <c r="C26" s="28"/>
      <c r="D26" s="28"/>
      <c r="E26" s="28"/>
      <c r="F26" s="28"/>
      <c r="G26" s="28"/>
      <c r="H26" s="28"/>
      <c r="I26" s="28"/>
      <c r="J26" s="35"/>
      <c r="K26" s="28"/>
    </row>
    <row r="27" customFormat="false" ht="15" hidden="false" customHeight="false" outlineLevel="0" collapsed="false">
      <c r="A27" s="28"/>
      <c r="B27" s="35"/>
      <c r="C27" s="28"/>
      <c r="D27" s="28"/>
      <c r="E27" s="28"/>
      <c r="F27" s="28"/>
      <c r="G27" s="28"/>
      <c r="H27" s="28"/>
      <c r="I27" s="28"/>
      <c r="J27" s="35"/>
      <c r="K27" s="28"/>
    </row>
    <row r="28" customFormat="false" ht="15" hidden="false" customHeight="false" outlineLevel="0" collapsed="false">
      <c r="A28" s="28"/>
      <c r="B28" s="35"/>
      <c r="C28" s="28"/>
      <c r="D28" s="28"/>
      <c r="E28" s="28"/>
      <c r="F28" s="28"/>
      <c r="G28" s="28"/>
      <c r="H28" s="28"/>
      <c r="I28" s="28"/>
      <c r="J28" s="35"/>
      <c r="K28" s="28"/>
    </row>
    <row r="29" customFormat="false" ht="15" hidden="false" customHeight="false" outlineLevel="0" collapsed="false">
      <c r="A29" s="28"/>
      <c r="B29" s="35"/>
      <c r="C29" s="28"/>
      <c r="D29" s="28"/>
      <c r="E29" s="28"/>
      <c r="F29" s="28"/>
      <c r="G29" s="28"/>
      <c r="H29" s="28"/>
      <c r="I29" s="28"/>
      <c r="J29" s="35"/>
      <c r="K29" s="28"/>
    </row>
    <row r="30" customFormat="false" ht="15" hidden="false" customHeight="false" outlineLevel="0" collapsed="false">
      <c r="A30" s="28"/>
      <c r="B30" s="35"/>
      <c r="C30" s="28"/>
      <c r="D30" s="28"/>
      <c r="E30" s="28"/>
      <c r="F30" s="28"/>
      <c r="G30" s="28"/>
      <c r="H30" s="28"/>
      <c r="I30" s="28"/>
      <c r="J30" s="35"/>
      <c r="K30" s="28"/>
    </row>
    <row r="31" customFormat="false" ht="15" hidden="false" customHeight="false" outlineLevel="0" collapsed="false">
      <c r="A31" s="28"/>
      <c r="B31" s="35"/>
      <c r="C31" s="28"/>
      <c r="D31" s="28"/>
      <c r="E31" s="28"/>
      <c r="F31" s="28"/>
      <c r="G31" s="28"/>
      <c r="H31" s="28"/>
      <c r="I31" s="28"/>
      <c r="J31" s="35"/>
      <c r="K31" s="28"/>
    </row>
    <row r="32" customFormat="false" ht="15" hidden="false" customHeight="false" outlineLevel="0" collapsed="false">
      <c r="A32" s="28"/>
      <c r="B32" s="35"/>
      <c r="C32" s="28"/>
      <c r="D32" s="28"/>
      <c r="E32" s="28"/>
      <c r="F32" s="28"/>
      <c r="G32" s="28"/>
      <c r="H32" s="28"/>
      <c r="I32" s="28"/>
      <c r="J32" s="35"/>
      <c r="K32" s="28"/>
    </row>
    <row r="33" customFormat="false" ht="15" hidden="false" customHeight="false" outlineLevel="0" collapsed="false">
      <c r="A33" s="28"/>
      <c r="B33" s="35"/>
      <c r="C33" s="28"/>
      <c r="D33" s="28"/>
      <c r="E33" s="28"/>
      <c r="F33" s="28"/>
      <c r="G33" s="28"/>
      <c r="H33" s="28"/>
      <c r="I33" s="28"/>
      <c r="J33" s="35"/>
      <c r="K33" s="28"/>
    </row>
    <row r="34" customFormat="false" ht="15" hidden="false" customHeight="false" outlineLevel="0" collapsed="false">
      <c r="A34" s="28"/>
      <c r="B34" s="35"/>
      <c r="C34" s="28"/>
      <c r="D34" s="28"/>
      <c r="E34" s="28"/>
      <c r="F34" s="28"/>
      <c r="G34" s="28"/>
      <c r="H34" s="28"/>
      <c r="I34" s="28"/>
      <c r="J34" s="35"/>
      <c r="K34" s="28"/>
    </row>
    <row r="35" customFormat="false" ht="15" hidden="false" customHeight="false" outlineLevel="0" collapsed="false">
      <c r="A35" s="28"/>
      <c r="B35" s="35"/>
      <c r="C35" s="28"/>
      <c r="D35" s="28"/>
      <c r="E35" s="28"/>
      <c r="F35" s="28"/>
      <c r="G35" s="28"/>
      <c r="H35" s="28"/>
      <c r="I35" s="28"/>
      <c r="J35" s="35"/>
      <c r="K35" s="28"/>
    </row>
    <row r="36" customFormat="false" ht="15" hidden="false" customHeight="false" outlineLevel="0" collapsed="false">
      <c r="A36" s="28"/>
      <c r="B36" s="35"/>
      <c r="C36" s="28"/>
      <c r="D36" s="28"/>
      <c r="E36" s="28"/>
      <c r="F36" s="28"/>
      <c r="G36" s="28"/>
      <c r="H36" s="28"/>
      <c r="I36" s="28"/>
      <c r="J36" s="35"/>
      <c r="K36" s="28"/>
    </row>
    <row r="37" customFormat="false" ht="15" hidden="false" customHeight="false" outlineLevel="0" collapsed="false">
      <c r="A37" s="28"/>
      <c r="B37" s="35"/>
      <c r="C37" s="28"/>
      <c r="D37" s="28"/>
      <c r="E37" s="28"/>
      <c r="F37" s="28"/>
      <c r="G37" s="28"/>
      <c r="H37" s="28"/>
      <c r="I37" s="28"/>
      <c r="J37" s="35"/>
      <c r="K37" s="28"/>
    </row>
    <row r="38" customFormat="false" ht="15" hidden="false" customHeight="false" outlineLevel="0" collapsed="false">
      <c r="A38" s="28"/>
      <c r="B38" s="35"/>
      <c r="C38" s="28"/>
      <c r="D38" s="28"/>
      <c r="E38" s="28"/>
      <c r="F38" s="28"/>
      <c r="G38" s="28"/>
      <c r="H38" s="28"/>
      <c r="I38" s="28"/>
      <c r="J38" s="35"/>
      <c r="K38" s="28"/>
    </row>
    <row r="39" customFormat="false" ht="15" hidden="false" customHeight="false" outlineLevel="0" collapsed="false">
      <c r="A39" s="28"/>
      <c r="B39" s="35"/>
      <c r="C39" s="28"/>
      <c r="D39" s="28"/>
      <c r="E39" s="28"/>
      <c r="F39" s="28"/>
      <c r="G39" s="28"/>
      <c r="H39" s="28"/>
      <c r="I39" s="28"/>
      <c r="J39" s="35"/>
      <c r="K39" s="28"/>
    </row>
    <row r="41" customFormat="false" ht="45" hidden="false" customHeight="true" outlineLevel="0" collapsed="false">
      <c r="A41" s="36" t="s">
        <v>599</v>
      </c>
      <c r="B41" s="36"/>
      <c r="C41" s="36"/>
      <c r="D41" s="36"/>
      <c r="E41" s="36"/>
      <c r="F41" s="36"/>
      <c r="G41" s="36"/>
      <c r="H41" s="36"/>
      <c r="I41" s="36"/>
      <c r="J41" s="36"/>
      <c r="K41" s="36"/>
    </row>
  </sheetData>
  <mergeCells count="1">
    <mergeCell ref="A41:K41"/>
  </mergeCells>
  <dataValidations count="2">
    <dataValidation allowBlank="true" errorStyle="stop" operator="between" showDropDown="false" showErrorMessage="false" showInputMessage="false" sqref="D5:D39" type="list">
      <formula1>"Critical,Major,Minor,Note"</formula1>
      <formula2>0</formula2>
    </dataValidation>
    <dataValidation allowBlank="true" errorStyle="stop" operator="between" showDropDown="false" showErrorMessage="false" showInputMessage="false" sqref="H5:H39" type="list">
      <formula1>"Open,Resolved,Accepted"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2026-10-21T18:36:57Z</dcterms:created>
  <dc:creator>openpyxl</dc:creator>
  <dc:description/>
  <dc:language>en-US</dc:language>
  <cp:lastModifiedBy/>
  <dcterms:modified xsi:type="dcterms:W3CDTF">2026-10-21T18:36:57Z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