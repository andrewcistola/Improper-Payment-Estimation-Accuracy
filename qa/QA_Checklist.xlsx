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ummary" sheetId="2" state="visible" r:id="rId2"/>
    <sheet name="Reviewer" sheetId="3" state="visible" r:id="rId3"/>
    <sheet name="Checklist" sheetId="4" state="visible" r:id="rId4"/>
    <sheet name="Run log" sheetId="5" state="visible" r:id="rId5"/>
    <sheet name="Issues log" sheetId="6" state="visible" r:id="rId6"/>
  </sheets>
  <definedNames>
    <definedName name="_xlnm._FilterDatabase" localSheetId="3" hidden="1">'Checklist'!$A$4:$L$104</definedName>
  </definedNames>
  <calcPr calcId="124519" fullCalcOnLoad="1"/>
</workbook>
</file>

<file path=xl/styles.xml><?xml version="1.0" encoding="utf-8"?>
<styleSheet xmlns="http://schemas.openxmlformats.org/spreadsheetml/2006/main">
  <numFmts count="3">
    <numFmt numFmtId="164" formatCode="yyyy-mm-dd"/>
    <numFmt numFmtId="165" formatCode="yyyy-mm-dd hh:mm"/>
    <numFmt numFmtId="166" formatCode="[h]:mm"/>
  </numFmts>
  <fonts count="11">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FFFFFF"/>
      <sz val="10"/>
    </font>
    <font>
      <name val="Arial"/>
      <b val="1"/>
      <color rgb="001F3864"/>
      <sz val="10"/>
    </font>
    <font>
      <name val="Arial"/>
      <i val="1"/>
      <color rgb="007F7F7F"/>
      <sz val="10"/>
    </font>
    <font>
      <name val="Arial"/>
      <color rgb="00000000"/>
      <sz val="10"/>
    </font>
    <font>
      <name val="Arial"/>
      <color rgb="000000FF"/>
      <sz val="10"/>
    </font>
    <font>
      <name val="Arial"/>
      <b val="1"/>
      <sz val="12"/>
    </font>
  </fonts>
  <fills count="5">
    <fill>
      <patternFill/>
    </fill>
    <fill>
      <patternFill patternType="gray125"/>
    </fill>
    <fill>
      <patternFill patternType="solid">
        <fgColor rgb="00FFF2CC"/>
      </patternFill>
    </fill>
    <fill>
      <patternFill patternType="solid">
        <fgColor rgb="00D9E1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0" fillId="2" borderId="0" pivotButton="0" quotePrefix="0" xfId="0"/>
    <xf numFmtId="0" fontId="4" fillId="0" borderId="0" pivotButton="0" quotePrefix="0" xfId="0"/>
    <xf numFmtId="0" fontId="0" fillId="3" borderId="0" pivotButton="0" quotePrefix="0" xfId="0"/>
    <xf numFmtId="0" fontId="5" fillId="4" borderId="1" applyAlignment="1" pivotButton="0" quotePrefix="0" xfId="0">
      <alignment vertical="center" wrapText="1"/>
    </xf>
    <xf numFmtId="0" fontId="4" fillId="0" borderId="1" pivotButton="0" quotePrefix="0" xfId="0"/>
    <xf numFmtId="9" fontId="4" fillId="0" borderId="1" pivotButton="0" quotePrefix="0" xfId="0"/>
    <xf numFmtId="9" fontId="3" fillId="0" borderId="0" pivotButton="0" quotePrefix="0" xfId="0"/>
    <xf numFmtId="0" fontId="6" fillId="0" borderId="0" pivotButton="0" quotePrefix="0" xfId="0"/>
    <xf numFmtId="0" fontId="10" fillId="0" borderId="0" pivotButton="0" quotePrefix="0" xfId="0"/>
    <xf numFmtId="0" fontId="5" fillId="4" borderId="0" pivotButton="0" quotePrefix="0" xfId="0"/>
    <xf numFmtId="0" fontId="3" fillId="3" borderId="0" applyAlignment="1" pivotButton="0" quotePrefix="0" xfId="0">
      <alignment vertical="top" wrapText="1"/>
    </xf>
    <xf numFmtId="0" fontId="4" fillId="2" borderId="1" pivotButton="0" quotePrefix="0" xfId="0"/>
    <xf numFmtId="0" fontId="2" fillId="0" borderId="0" applyAlignment="1" pivotButton="0" quotePrefix="0" xfId="0">
      <alignment vertical="top" wrapText="1"/>
    </xf>
    <xf numFmtId="0" fontId="6" fillId="3" borderId="0" pivotButton="0" quotePrefix="0" xfId="0"/>
    <xf numFmtId="0" fontId="4" fillId="0" borderId="1" applyAlignment="1" pivotButton="0" quotePrefix="0" xfId="0">
      <alignment vertical="top" wrapText="1"/>
    </xf>
    <xf numFmtId="0" fontId="4" fillId="2" borderId="1" applyAlignment="1" pivotButton="0" quotePrefix="0" xfId="0">
      <alignment vertical="top" wrapText="1"/>
    </xf>
    <xf numFmtId="164" fontId="4" fillId="2" borderId="1" applyAlignment="1" pivotButton="0" quotePrefix="0" xfId="0">
      <alignment vertical="top" wrapText="1"/>
    </xf>
    <xf numFmtId="0" fontId="7" fillId="2" borderId="1" applyAlignment="1" pivotButton="0" quotePrefix="0" xfId="0">
      <alignment vertical="top" wrapText="1"/>
    </xf>
    <xf numFmtId="165" fontId="7" fillId="2" borderId="1" applyAlignment="1" pivotButton="0" quotePrefix="0" xfId="0">
      <alignment vertical="top" wrapText="1"/>
    </xf>
    <xf numFmtId="166" fontId="7" fillId="0" borderId="1" applyAlignment="1" pivotButton="0" quotePrefix="0" xfId="0">
      <alignment vertical="top" wrapText="1"/>
    </xf>
    <xf numFmtId="0" fontId="8" fillId="2" borderId="1" applyAlignment="1" pivotButton="0" quotePrefix="0" xfId="0">
      <alignment vertical="top" wrapText="1"/>
    </xf>
    <xf numFmtId="165" fontId="8" fillId="2" borderId="1" applyAlignment="1" pivotButton="0" quotePrefix="0" xfId="0">
      <alignment vertical="top" wrapText="1"/>
    </xf>
    <xf numFmtId="166" fontId="8" fillId="0" borderId="1" applyAlignment="1" pivotButton="0" quotePrefix="0" xfId="0">
      <alignment vertical="top" wrapText="1"/>
    </xf>
    <xf numFmtId="46" fontId="9" fillId="0" borderId="0" pivotButton="0" quotePrefix="0" xfId="0"/>
    <xf numFmtId="46" fontId="0" fillId="2" borderId="1" pivotButton="0" quotePrefix="0" xfId="0"/>
    <xf numFmtId="46" fontId="3" fillId="0" borderId="0" pivotButton="0" quotePrefix="0" xfId="0"/>
    <xf numFmtId="164" fontId="7" fillId="2" borderId="1" applyAlignment="1" pivotButton="0" quotePrefix="0" xfId="0">
      <alignment vertical="top" wrapText="1"/>
    </xf>
    <xf numFmtId="164" fontId="8" fillId="2"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QA</author>
  </authors>
  <commentList>
    <comment ref="K4" authorId="0" shapeId="0">
      <text>
        <t>Required for every row marked Fail: the matching ID from the Issues log (e.g., I-01).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B18"/>
  <sheetViews>
    <sheetView zoomScale="100" workbookViewId="0">
      <selection activeCell="A1" sqref="A1"/>
    </sheetView>
  </sheetViews>
  <sheetFormatPr baseColWidth="8" defaultRowHeight="15"/>
  <cols>
    <col width="26" customWidth="1" min="1" max="1"/>
    <col width="100" customWidth="1" min="2" max="2"/>
  </cols>
  <sheetData>
    <row r="1">
      <c r="A1" s="1" t="inlineStr">
        <is>
          <t>QA Checklist: Comparative Accuracy of Improper Payment Estimation Methods</t>
        </is>
      </c>
    </row>
    <row r="2">
      <c r="A2" s="2" t="inlineStr">
        <is>
          <t>Human reviewer's checklist. Read qa/README.md first.</t>
        </is>
      </c>
    </row>
    <row r="4">
      <c r="A4" s="3" t="inlineStr">
        <is>
          <t>Purpose</t>
        </is>
      </c>
      <c r="B4" s="4" t="inlineStr">
        <is>
          <t>This workbook records everything a human reviewer checks: an independent re-run with date-stamped logs, a code review of every key assumption, and a check that the results are represented correctly. It is the evidence behind the signed sign-off form.</t>
        </is>
      </c>
    </row>
    <row r="5">
      <c r="A5" s="3" t="inlineStr">
        <is>
          <t>Order of work</t>
        </is>
      </c>
      <c r="B5" s="4" t="inlineStr">
        <is>
          <t>1. Reviewer sheet  2. Re-run (Checklist section B) and Run log sheet  3. Code review (section C)  4. Results (section D)  5. Tests, data security, documentation (E-G)  6. Issues log  7. Close-out (section H) and sign-off form.</t>
        </is>
      </c>
    </row>
    <row r="6">
      <c r="A6" s="3" t="inlineStr">
        <is>
          <t>Cells you fill in</t>
        </is>
      </c>
      <c r="B6" s="4" t="inlineStr">
        <is>
          <t>Only the yellow cells. On the Checklist: Status, Date checked, Initials, Evidence, Issue ID and Notes. Grey and blue cells are fixed text or formulas; do not edit them.</t>
        </is>
      </c>
    </row>
    <row r="7">
      <c r="A7" s="3" t="inlineStr">
        <is>
          <t>Status values</t>
        </is>
      </c>
      <c r="B7" s="4" t="inlineStr">
        <is>
          <t>Not started: not yet checked.  Pass: checked and matches the expected result.  Fail: checked and does not match; log it on the Issues log and enter its ID.  N/A: does not apply (explain why in Notes).</t>
        </is>
      </c>
    </row>
    <row r="8">
      <c r="A8" s="3" t="inlineStr">
        <is>
          <t>Dates</t>
        </is>
      </c>
      <c r="B8" s="4" t="inlineStr">
        <is>
          <t>Enter dates as YYYY-MM-DD (for example 2026-10-21). Date-times on the Run log as YYYY-MM-DD HH:MM.</t>
        </is>
      </c>
    </row>
    <row r="9">
      <c r="A9" s="3" t="inlineStr">
        <is>
          <t>Evidence</t>
        </is>
      </c>
      <c r="B9" s="4" t="inlineStr">
        <is>
          <t>Where the proof is: a file path in your re-run folder (for example logs/run_2026-10-21_093000/stage7_01_pytest.log), a screenshot file name in review/, or a short description.</t>
        </is>
      </c>
    </row>
    <row r="10">
      <c r="A10" s="3" t="inlineStr">
        <is>
          <t>Commands</t>
        </is>
      </c>
      <c r="B10" s="4" t="inlineStr">
        <is>
          <t>Commands are written for macOS and Linux (.venv/bin/python). On Windows, replace .venv/bin/python with .venv\Scripts\python and forward slashes in file paths with backslashes.</t>
        </is>
      </c>
    </row>
    <row r="11">
      <c r="A11" s="3" t="inlineStr">
        <is>
          <t>Wildcards</t>
        </is>
      </c>
      <c r="B11" s="4" t="inlineStr">
        <is>
          <t>In 'Where to look', * means 'any folder or file name here'; for example */errors/sql/*.sql means the errors/sql folder of every program.</t>
        </is>
      </c>
    </row>
    <row r="12">
      <c r="A12" s="3" t="inlineStr">
        <is>
          <t>Example of a completed row</t>
        </is>
      </c>
      <c r="B12" s="4" t="inlineStr">
        <is>
          <t>Status: Pass | Date checked: 2026-10-21 | Initials: JD | Evidence: logs/run_2026-10-21_093000/stage7_01_pytest.log | Issue ID: (blank) | Notes: 38 passed in 89 s.</t>
        </is>
      </c>
    </row>
    <row r="13">
      <c r="A13" s="3" t="inlineStr">
        <is>
          <t>When you finish</t>
        </is>
      </c>
      <c r="B13" s="4" t="inlineStr">
        <is>
          <t>The Summary sheet shows progress and whether the review is ready to sign. Save this file as QA_Checklist_&lt;date&gt;_&lt;initials&gt;.xlsx in qa/reruns/&lt;date&gt;_&lt;initials&gt;/review/.</t>
        </is>
      </c>
    </row>
    <row r="15">
      <c r="A15" s="5" t="inlineStr">
        <is>
          <t>Legend</t>
        </is>
      </c>
    </row>
    <row r="16">
      <c r="A16" s="6" t="inlineStr">
        <is>
          <t>Yellow</t>
        </is>
      </c>
      <c r="B16" s="7" t="inlineStr">
        <is>
          <t>You fill this in</t>
        </is>
      </c>
    </row>
    <row r="17">
      <c r="A17" s="8" t="inlineStr">
        <is>
          <t>Light blue</t>
        </is>
      </c>
      <c r="B17" s="7" t="inlineStr">
        <is>
          <t>Section heading or fixed text</t>
        </is>
      </c>
    </row>
    <row r="18">
      <c r="A18" s="7" t="inlineStr">
        <is>
          <t>Green / red status</t>
        </is>
      </c>
      <c r="B18" s="7" t="inlineStr">
        <is>
          <t>Pass turns green; Fail turns red automatically</t>
        </is>
      </c>
    </row>
  </sheetData>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25"/>
  <sheetViews>
    <sheetView zoomScale="100" workbookViewId="0">
      <selection activeCell="A1" sqref="A1"/>
    </sheetView>
  </sheetViews>
  <sheetFormatPr baseColWidth="8" defaultRowHeight="15"/>
  <cols>
    <col width="44" customWidth="1" min="1" max="1"/>
    <col width="9" customWidth="1" min="2" max="2"/>
    <col width="9" customWidth="1" min="3" max="3"/>
    <col width="9" customWidth="1" min="4" max="4"/>
    <col width="9" customWidth="1" min="5" max="5"/>
    <col width="12" customWidth="1" min="6" max="6"/>
    <col width="13" customWidth="1" min="7" max="7"/>
  </cols>
  <sheetData>
    <row r="1">
      <c r="A1" s="1" t="inlineStr">
        <is>
          <t>Summary</t>
        </is>
      </c>
    </row>
    <row r="2">
      <c r="A2" s="2" t="inlineStr">
        <is>
          <t>Calculated from the Checklist and Issues log. Nothing to fill in here.</t>
        </is>
      </c>
    </row>
    <row r="4">
      <c r="A4" s="9" t="inlineStr">
        <is>
          <t>Section</t>
        </is>
      </c>
      <c r="B4" s="9" t="inlineStr">
        <is>
          <t>Tasks</t>
        </is>
      </c>
      <c r="C4" s="9" t="inlineStr">
        <is>
          <t>Pass</t>
        </is>
      </c>
      <c r="D4" s="9" t="inlineStr">
        <is>
          <t>Fail</t>
        </is>
      </c>
      <c r="E4" s="9" t="inlineStr">
        <is>
          <t>N/A</t>
        </is>
      </c>
      <c r="F4" s="9" t="inlineStr">
        <is>
          <t>Not started</t>
        </is>
      </c>
      <c r="G4" s="9" t="inlineStr">
        <is>
          <t>Complete (%)</t>
        </is>
      </c>
    </row>
    <row r="5">
      <c r="A5" s="10" t="inlineStr">
        <is>
          <t>A. Setup and independence</t>
        </is>
      </c>
      <c r="B5" s="10">
        <f>COUNTIF(Checklist!$B$6:$B$104,"Setup and independence")</f>
        <v/>
      </c>
      <c r="C5" s="10">
        <f>COUNTIFS(Checklist!$B$6:$B$104,"Setup and independence",Checklist!$G$6:$G$104,"Pass")</f>
        <v/>
      </c>
      <c r="D5" s="10">
        <f>COUNTIFS(Checklist!$B$6:$B$104,"Setup and independence",Checklist!$G$6:$G$104,"Fail")</f>
        <v/>
      </c>
      <c r="E5" s="10">
        <f>COUNTIFS(Checklist!$B$6:$B$104,"Setup and independence",Checklist!$G$6:$G$104,"N/A")</f>
        <v/>
      </c>
      <c r="F5" s="10">
        <f>COUNTIFS(Checklist!$B$6:$B$104,"Setup and independence",Checklist!$G$6:$G$104,"Not started")</f>
        <v/>
      </c>
      <c r="G5" s="11">
        <f>IF(B5=0,0,(C5+D5+E5)/B5)</f>
        <v/>
      </c>
    </row>
    <row r="6">
      <c r="A6" s="10" t="inlineStr">
        <is>
          <t>B. Re-run with date-stamped logs</t>
        </is>
      </c>
      <c r="B6" s="10">
        <f>COUNTIF(Checklist!$B$6:$B$104,"Re-run with date-stamped logs")</f>
        <v/>
      </c>
      <c r="C6" s="10">
        <f>COUNTIFS(Checklist!$B$6:$B$104,"Re-run with date-stamped logs",Checklist!$G$6:$G$104,"Pass")</f>
        <v/>
      </c>
      <c r="D6" s="10">
        <f>COUNTIFS(Checklist!$B$6:$B$104,"Re-run with date-stamped logs",Checklist!$G$6:$G$104,"Fail")</f>
        <v/>
      </c>
      <c r="E6" s="10">
        <f>COUNTIFS(Checklist!$B$6:$B$104,"Re-run with date-stamped logs",Checklist!$G$6:$G$104,"N/A")</f>
        <v/>
      </c>
      <c r="F6" s="10">
        <f>COUNTIFS(Checklist!$B$6:$B$104,"Re-run with date-stamped logs",Checklist!$G$6:$G$104,"Not started")</f>
        <v/>
      </c>
      <c r="G6" s="11">
        <f>IF(B6=0,0,(C6+D6+E6)/B6)</f>
        <v/>
      </c>
    </row>
    <row r="7">
      <c r="A7" s="10" t="inlineStr">
        <is>
          <t>C. Code review: key assumptions</t>
        </is>
      </c>
      <c r="B7" s="10">
        <f>COUNTIF(Checklist!$B$6:$B$104,"Code review: key assumptions")</f>
        <v/>
      </c>
      <c r="C7" s="10">
        <f>COUNTIFS(Checklist!$B$6:$B$104,"Code review: key assumptions",Checklist!$G$6:$G$104,"Pass")</f>
        <v/>
      </c>
      <c r="D7" s="10">
        <f>COUNTIFS(Checklist!$B$6:$B$104,"Code review: key assumptions",Checklist!$G$6:$G$104,"Fail")</f>
        <v/>
      </c>
      <c r="E7" s="10">
        <f>COUNTIFS(Checklist!$B$6:$B$104,"Code review: key assumptions",Checklist!$G$6:$G$104,"N/A")</f>
        <v/>
      </c>
      <c r="F7" s="10">
        <f>COUNTIFS(Checklist!$B$6:$B$104,"Code review: key assumptions",Checklist!$G$6:$G$104,"Not started")</f>
        <v/>
      </c>
      <c r="G7" s="11">
        <f>IF(B7=0,0,(C7+D7+E7)/B7)</f>
        <v/>
      </c>
    </row>
    <row r="8">
      <c r="A8" s="10" t="inlineStr">
        <is>
          <t>D. Results: represented correctly</t>
        </is>
      </c>
      <c r="B8" s="10">
        <f>COUNTIF(Checklist!$B$6:$B$104,"Results: represented correctly")</f>
        <v/>
      </c>
      <c r="C8" s="10">
        <f>COUNTIFS(Checklist!$B$6:$B$104,"Results: represented correctly",Checklist!$G$6:$G$104,"Pass")</f>
        <v/>
      </c>
      <c r="D8" s="10">
        <f>COUNTIFS(Checklist!$B$6:$B$104,"Results: represented correctly",Checklist!$G$6:$G$104,"Fail")</f>
        <v/>
      </c>
      <c r="E8" s="10">
        <f>COUNTIFS(Checklist!$B$6:$B$104,"Results: represented correctly",Checklist!$G$6:$G$104,"N/A")</f>
        <v/>
      </c>
      <c r="F8" s="10">
        <f>COUNTIFS(Checklist!$B$6:$B$104,"Results: represented correctly",Checklist!$G$6:$G$104,"Not started")</f>
        <v/>
      </c>
      <c r="G8" s="11">
        <f>IF(B8=0,0,(C8+D8+E8)/B8)</f>
        <v/>
      </c>
    </row>
    <row r="9">
      <c r="A9" s="10" t="inlineStr">
        <is>
          <t>E. Tests and independent checks</t>
        </is>
      </c>
      <c r="B9" s="10">
        <f>COUNTIF(Checklist!$B$6:$B$104,"Tests and independent checks")</f>
        <v/>
      </c>
      <c r="C9" s="10">
        <f>COUNTIFS(Checklist!$B$6:$B$104,"Tests and independent checks",Checklist!$G$6:$G$104,"Pass")</f>
        <v/>
      </c>
      <c r="D9" s="10">
        <f>COUNTIFS(Checklist!$B$6:$B$104,"Tests and independent checks",Checklist!$G$6:$G$104,"Fail")</f>
        <v/>
      </c>
      <c r="E9" s="10">
        <f>COUNTIFS(Checklist!$B$6:$B$104,"Tests and independent checks",Checklist!$G$6:$G$104,"N/A")</f>
        <v/>
      </c>
      <c r="F9" s="10">
        <f>COUNTIFS(Checklist!$B$6:$B$104,"Tests and independent checks",Checklist!$G$6:$G$104,"Not started")</f>
        <v/>
      </c>
      <c r="G9" s="11">
        <f>IF(B9=0,0,(C9+D9+E9)/B9)</f>
        <v/>
      </c>
    </row>
    <row r="10">
      <c r="A10" s="10" t="inlineStr">
        <is>
          <t>F. Data security and disclosure</t>
        </is>
      </c>
      <c r="B10" s="10">
        <f>COUNTIF(Checklist!$B$6:$B$104,"Data security and disclosure")</f>
        <v/>
      </c>
      <c r="C10" s="10">
        <f>COUNTIFS(Checklist!$B$6:$B$104,"Data security and disclosure",Checklist!$G$6:$G$104,"Pass")</f>
        <v/>
      </c>
      <c r="D10" s="10">
        <f>COUNTIFS(Checklist!$B$6:$B$104,"Data security and disclosure",Checklist!$G$6:$G$104,"Fail")</f>
        <v/>
      </c>
      <c r="E10" s="10">
        <f>COUNTIFS(Checklist!$B$6:$B$104,"Data security and disclosure",Checklist!$G$6:$G$104,"N/A")</f>
        <v/>
      </c>
      <c r="F10" s="10">
        <f>COUNTIFS(Checklist!$B$6:$B$104,"Data security and disclosure",Checklist!$G$6:$G$104,"Not started")</f>
        <v/>
      </c>
      <c r="G10" s="11">
        <f>IF(B10=0,0,(C10+D10+E10)/B10)</f>
        <v/>
      </c>
    </row>
    <row r="11">
      <c r="A11" s="10" t="inlineStr">
        <is>
          <t>G. Documentation and reproducibility</t>
        </is>
      </c>
      <c r="B11" s="10">
        <f>COUNTIF(Checklist!$B$6:$B$104,"Documentation and reproducibility")</f>
        <v/>
      </c>
      <c r="C11" s="10">
        <f>COUNTIFS(Checklist!$B$6:$B$104,"Documentation and reproducibility",Checklist!$G$6:$G$104,"Pass")</f>
        <v/>
      </c>
      <c r="D11" s="10">
        <f>COUNTIFS(Checklist!$B$6:$B$104,"Documentation and reproducibility",Checklist!$G$6:$G$104,"Fail")</f>
        <v/>
      </c>
      <c r="E11" s="10">
        <f>COUNTIFS(Checklist!$B$6:$B$104,"Documentation and reproducibility",Checklist!$G$6:$G$104,"N/A")</f>
        <v/>
      </c>
      <c r="F11" s="10">
        <f>COUNTIFS(Checklist!$B$6:$B$104,"Documentation and reproducibility",Checklist!$G$6:$G$104,"Not started")</f>
        <v/>
      </c>
      <c r="G11" s="11">
        <f>IF(B11=0,0,(C11+D11+E11)/B11)</f>
        <v/>
      </c>
    </row>
    <row r="12">
      <c r="A12" s="10" t="inlineStr">
        <is>
          <t>H. Close-out and sign-off</t>
        </is>
      </c>
      <c r="B12" s="10">
        <f>COUNTIF(Checklist!$B$6:$B$104,"Close-out and sign-off")</f>
        <v/>
      </c>
      <c r="C12" s="10">
        <f>COUNTIFS(Checklist!$B$6:$B$104,"Close-out and sign-off",Checklist!$G$6:$G$104,"Pass")</f>
        <v/>
      </c>
      <c r="D12" s="10">
        <f>COUNTIFS(Checklist!$B$6:$B$104,"Close-out and sign-off",Checklist!$G$6:$G$104,"Fail")</f>
        <v/>
      </c>
      <c r="E12" s="10">
        <f>COUNTIFS(Checklist!$B$6:$B$104,"Close-out and sign-off",Checklist!$G$6:$G$104,"N/A")</f>
        <v/>
      </c>
      <c r="F12" s="10">
        <f>COUNTIFS(Checklist!$B$6:$B$104,"Close-out and sign-off",Checklist!$G$6:$G$104,"Not started")</f>
        <v/>
      </c>
      <c r="G12" s="11">
        <f>IF(B12=0,0,(C12+D12+E12)/B12)</f>
        <v/>
      </c>
    </row>
    <row r="13">
      <c r="A13" s="5" t="inlineStr">
        <is>
          <t>All sections</t>
        </is>
      </c>
      <c r="B13" s="5">
        <f>SUM(B5:B12)</f>
        <v/>
      </c>
      <c r="C13" s="5">
        <f>SUM(C5:C12)</f>
        <v/>
      </c>
      <c r="D13" s="5">
        <f>SUM(D5:D12)</f>
        <v/>
      </c>
      <c r="E13" s="5">
        <f>SUM(E5:E12)</f>
        <v/>
      </c>
      <c r="F13" s="5">
        <f>SUM(F5:F12)</f>
        <v/>
      </c>
      <c r="G13" s="12">
        <f>IF(B13=0,0,(C13+D13+E13)/B13)</f>
        <v/>
      </c>
    </row>
    <row r="15">
      <c r="A15" s="13" t="inlineStr">
        <is>
          <t>Issues (rows whose ID contains EXAMPLE are not counted)</t>
        </is>
      </c>
    </row>
    <row r="16">
      <c r="A16" s="9" t="inlineStr">
        <is>
          <t>Severity</t>
        </is>
      </c>
      <c r="B16" s="9" t="inlineStr">
        <is>
          <t>Total</t>
        </is>
      </c>
      <c r="C16" s="9" t="inlineStr">
        <is>
          <t>Open</t>
        </is>
      </c>
      <c r="D16" s="9" t="inlineStr">
        <is>
          <t>Resolved</t>
        </is>
      </c>
      <c r="E16" s="9" t="inlineStr">
        <is>
          <t>Accepted</t>
        </is>
      </c>
    </row>
    <row r="17">
      <c r="A17" s="7" t="inlineStr">
        <is>
          <t>Critical</t>
        </is>
      </c>
      <c r="B17" s="7">
        <f>COUNTIFS('Issues log'!$D$5:$D$39,"Critical",'Issues log'!$A$5:$A$39,"&lt;&gt;*EXAMPLE*")</f>
        <v/>
      </c>
      <c r="C17" s="7">
        <f>COUNTIFS('Issues log'!$D$5:$D$39,"Critical",'Issues log'!$H$5:$H$39,"Open",'Issues log'!$A$5:$A$39,"&lt;&gt;*EXAMPLE*")</f>
        <v/>
      </c>
      <c r="D17" s="7">
        <f>COUNTIFS('Issues log'!$D$5:$D$39,"Critical",'Issues log'!$H$5:$H$39,"Resolved",'Issues log'!$A$5:$A$39,"&lt;&gt;*EXAMPLE*")</f>
        <v/>
      </c>
      <c r="E17" s="7">
        <f>COUNTIFS('Issues log'!$D$5:$D$39,"Critical",'Issues log'!$H$5:$H$39,"Accepted",'Issues log'!$A$5:$A$39,"&lt;&gt;*EXAMPLE*")</f>
        <v/>
      </c>
    </row>
    <row r="18">
      <c r="A18" s="7" t="inlineStr">
        <is>
          <t>Major</t>
        </is>
      </c>
      <c r="B18" s="7">
        <f>COUNTIFS('Issues log'!$D$5:$D$39,"Major",'Issues log'!$A$5:$A$39,"&lt;&gt;*EXAMPLE*")</f>
        <v/>
      </c>
      <c r="C18" s="7">
        <f>COUNTIFS('Issues log'!$D$5:$D$39,"Major",'Issues log'!$H$5:$H$39,"Open",'Issues log'!$A$5:$A$39,"&lt;&gt;*EXAMPLE*")</f>
        <v/>
      </c>
      <c r="D18" s="7">
        <f>COUNTIFS('Issues log'!$D$5:$D$39,"Major",'Issues log'!$H$5:$H$39,"Resolved",'Issues log'!$A$5:$A$39,"&lt;&gt;*EXAMPLE*")</f>
        <v/>
      </c>
      <c r="E18" s="7">
        <f>COUNTIFS('Issues log'!$D$5:$D$39,"Major",'Issues log'!$H$5:$H$39,"Accepted",'Issues log'!$A$5:$A$39,"&lt;&gt;*EXAMPLE*")</f>
        <v/>
      </c>
    </row>
    <row r="19">
      <c r="A19" s="7" t="inlineStr">
        <is>
          <t>Minor</t>
        </is>
      </c>
      <c r="B19" s="7">
        <f>COUNTIFS('Issues log'!$D$5:$D$39,"Minor",'Issues log'!$A$5:$A$39,"&lt;&gt;*EXAMPLE*")</f>
        <v/>
      </c>
      <c r="C19" s="7">
        <f>COUNTIFS('Issues log'!$D$5:$D$39,"Minor",'Issues log'!$H$5:$H$39,"Open",'Issues log'!$A$5:$A$39,"&lt;&gt;*EXAMPLE*")</f>
        <v/>
      </c>
      <c r="D19" s="7">
        <f>COUNTIFS('Issues log'!$D$5:$D$39,"Minor",'Issues log'!$H$5:$H$39,"Resolved",'Issues log'!$A$5:$A$39,"&lt;&gt;*EXAMPLE*")</f>
        <v/>
      </c>
      <c r="E19" s="7">
        <f>COUNTIFS('Issues log'!$D$5:$D$39,"Minor",'Issues log'!$H$5:$H$39,"Accepted",'Issues log'!$A$5:$A$39,"&lt;&gt;*EXAMPLE*")</f>
        <v/>
      </c>
    </row>
    <row r="20">
      <c r="A20" s="7" t="inlineStr">
        <is>
          <t>Note</t>
        </is>
      </c>
      <c r="B20" s="7">
        <f>COUNTIFS('Issues log'!$D$5:$D$39,"Note",'Issues log'!$A$5:$A$39,"&lt;&gt;*EXAMPLE*")</f>
        <v/>
      </c>
      <c r="C20" s="7">
        <f>COUNTIFS('Issues log'!$D$5:$D$39,"Note",'Issues log'!$H$5:$H$39,"Open",'Issues log'!$A$5:$A$39,"&lt;&gt;*EXAMPLE*")</f>
        <v/>
      </c>
      <c r="D20" s="7">
        <f>COUNTIFS('Issues log'!$D$5:$D$39,"Note",'Issues log'!$H$5:$H$39,"Resolved",'Issues log'!$A$5:$A$39,"&lt;&gt;*EXAMPLE*")</f>
        <v/>
      </c>
      <c r="E20" s="7">
        <f>COUNTIFS('Issues log'!$D$5:$D$39,"Note",'Issues log'!$H$5:$H$39,"Accepted",'Issues log'!$A$5:$A$39,"&lt;&gt;*EXAMPLE*")</f>
        <v/>
      </c>
    </row>
    <row r="22">
      <c r="A22" s="7" t="inlineStr">
        <is>
          <t>Fail rows without an Issue ID</t>
        </is>
      </c>
      <c r="B22" s="7">
        <f>COUNTIFS(Checklist!$G$6:$G$104,"Fail",Checklist!$K$6:$K$104,"")</f>
        <v/>
      </c>
    </row>
    <row r="24">
      <c r="A24" s="14" t="inlineStr">
        <is>
          <t>READY TO SIGN?</t>
        </is>
      </c>
      <c r="B24" s="14">
        <f>IF(AND(F13=0,C17=0,C18=0,B22=0),"YES: every task checked; no open Critical or Major issues","NOT YET: "&amp;F13&amp;" task(s) not started, "&amp;(C17+C18)&amp;" open Critical/Major issue(s), "&amp;B22&amp;" Fail row(s) without an Issue ID")</f>
        <v/>
      </c>
    </row>
    <row r="25">
      <c r="A25" s="2" t="inlineStr">
        <is>
          <t>A Fail row does not by itself block sign-off if its issue is Resolved or Accepted.</t>
        </is>
      </c>
    </row>
  </sheetData>
  <mergeCells count="1">
    <mergeCell ref="B24:G24"/>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31"/>
  <sheetViews>
    <sheetView zoomScale="100" workbookViewId="0">
      <pane ySplit="3" topLeftCell="A4" activePane="bottomLeft" state="frozen"/>
      <selection pane="bottomLeft" activeCell="A1" sqref="A1"/>
    </sheetView>
  </sheetViews>
  <sheetFormatPr baseColWidth="8" defaultRowHeight="15"/>
  <cols>
    <col width="44" customWidth="1" min="1" max="1"/>
    <col width="60" customWidth="1" min="2" max="2"/>
    <col width="60" customWidth="1" min="3" max="3"/>
  </cols>
  <sheetData>
    <row r="1">
      <c r="A1" s="1" t="inlineStr">
        <is>
          <t>Reviewer and environment</t>
        </is>
      </c>
    </row>
    <row r="2">
      <c r="A2" s="2" t="inlineStr">
        <is>
          <t>Fill in every yellow cell. Copy computer and software details from environment.txt in your run folder.</t>
        </is>
      </c>
    </row>
    <row r="3">
      <c r="A3" s="15" t="inlineStr">
        <is>
          <t>Item</t>
        </is>
      </c>
      <c r="B3" s="15" t="inlineStr">
        <is>
          <t>Your entry</t>
        </is>
      </c>
      <c r="C3" s="15" t="inlineStr">
        <is>
          <t>Guidance</t>
        </is>
      </c>
    </row>
    <row r="4">
      <c r="A4" s="16" t="inlineStr">
        <is>
          <t>REVIEWER</t>
        </is>
      </c>
      <c r="B4" s="8" t="n"/>
      <c r="C4" s="8" t="n"/>
    </row>
    <row r="5">
      <c r="A5" s="4" t="inlineStr">
        <is>
          <t>Full name</t>
        </is>
      </c>
      <c r="B5" s="17" t="n"/>
      <c r="C5" s="18" t="inlineStr"/>
    </row>
    <row r="6">
      <c r="A6" s="4" t="inlineStr">
        <is>
          <t>Initials (used in the re-run folder name)</t>
        </is>
      </c>
      <c r="B6" s="17" t="n"/>
      <c r="C6" s="18" t="inlineStr"/>
    </row>
    <row r="7">
      <c r="A7" s="4" t="inlineStr">
        <is>
          <t>Title / role</t>
        </is>
      </c>
      <c r="B7" s="17" t="n"/>
      <c r="C7" s="18" t="inlineStr"/>
    </row>
    <row r="8">
      <c r="A8" s="4" t="inlineStr">
        <is>
          <t>Organization</t>
        </is>
      </c>
      <c r="B8" s="17" t="n"/>
      <c r="C8" s="18" t="inlineStr"/>
    </row>
    <row r="9">
      <c r="A9" s="4" t="inlineStr">
        <is>
          <t>Email</t>
        </is>
      </c>
      <c r="B9" s="17" t="n"/>
      <c r="C9" s="18" t="inlineStr"/>
    </row>
    <row r="10">
      <c r="A10" s="4" t="inlineStr">
        <is>
          <t>Relationship to the study or its authors</t>
        </is>
      </c>
      <c r="B10" s="17" t="n"/>
      <c r="C10" s="18" t="inlineStr">
        <is>
          <t>For example: none; colleague; co-author. Disclose any role in writing the code or text.</t>
        </is>
      </c>
    </row>
    <row r="11">
      <c r="A11" s="4" t="inlineStr">
        <is>
          <t>Independent of the study's development? (Yes/No)</t>
        </is>
      </c>
      <c r="B11" s="17" t="n"/>
      <c r="C11" s="18" t="inlineStr"/>
    </row>
    <row r="12">
      <c r="A12" s="16" t="inlineStr">
        <is>
          <t>REVIEW</t>
        </is>
      </c>
      <c r="B12" s="8" t="n"/>
      <c r="C12" s="8" t="n"/>
    </row>
    <row r="13">
      <c r="A13" s="4" t="inlineStr">
        <is>
          <t>Review start date (YYYY-MM-DD)</t>
        </is>
      </c>
      <c r="B13" s="17" t="n"/>
      <c r="C13" s="18" t="inlineStr"/>
    </row>
    <row r="14">
      <c r="A14" s="4" t="inlineStr">
        <is>
          <t>Review end date (YYYY-MM-DD)</t>
        </is>
      </c>
      <c r="B14" s="17" t="n"/>
      <c r="C14" s="18" t="inlineStr"/>
    </row>
    <row r="15">
      <c r="A15" s="4" t="inlineStr">
        <is>
          <t>Project version reviewed (Git commit ID, or ZIP download date)</t>
        </is>
      </c>
      <c r="B15" s="17" t="n"/>
      <c r="C15" s="18" t="inlineStr">
        <is>
          <t>From environment.txt, 'Project version'</t>
        </is>
      </c>
    </row>
    <row r="16">
      <c r="A16" s="4" t="inlineStr">
        <is>
          <t>How the project was obtained (Git clone / ZIP download)</t>
        </is>
      </c>
      <c r="B16" s="17" t="n"/>
      <c r="C16" s="18" t="inlineStr"/>
    </row>
    <row r="17">
      <c r="A17" s="4" t="inlineStr">
        <is>
          <t>Re-run folder (qa/reruns/...)</t>
        </is>
      </c>
      <c r="B17" s="17" t="n"/>
      <c r="C17" s="18" t="inlineStr">
        <is>
          <t>For example qa/reruns/2026-10-21_JD</t>
        </is>
      </c>
    </row>
    <row r="18">
      <c r="A18" s="16" t="inlineStr">
        <is>
          <t>COMPUTER AND SOFTWARE (from environment.txt)</t>
        </is>
      </c>
      <c r="B18" s="8" t="n"/>
      <c r="C18" s="8" t="n"/>
    </row>
    <row r="19">
      <c r="A19" s="4" t="inlineStr">
        <is>
          <t>Computer (make/model, or 'personal laptop', 'work desktop')</t>
        </is>
      </c>
      <c r="B19" s="17" t="n"/>
      <c r="C19" s="18" t="inlineStr"/>
    </row>
    <row r="20">
      <c r="A20" s="4" t="inlineStr">
        <is>
          <t>Operating system and version</t>
        </is>
      </c>
      <c r="B20" s="17" t="n"/>
      <c r="C20" s="18" t="inlineStr"/>
    </row>
    <row r="21">
      <c r="A21" s="4" t="inlineStr">
        <is>
          <t>Processor cores</t>
        </is>
      </c>
      <c r="B21" s="17" t="n"/>
      <c r="C21" s="18" t="inlineStr"/>
    </row>
    <row r="22">
      <c r="A22" s="4" t="inlineStr">
        <is>
          <t>Memory (GB)</t>
        </is>
      </c>
      <c r="B22" s="17" t="n"/>
      <c r="C22" s="18" t="inlineStr"/>
    </row>
    <row r="23">
      <c r="A23" s="4" t="inlineStr">
        <is>
          <t>Python version</t>
        </is>
      </c>
      <c r="B23" s="17" t="n"/>
      <c r="C23" s="18" t="inlineStr"/>
    </row>
    <row r="24">
      <c r="A24" s="4" t="inlineStr">
        <is>
          <t>DuckDB version (must be 1.5.6)</t>
        </is>
      </c>
      <c r="B24" s="17" t="n"/>
      <c r="C24" s="18" t="inlineStr"/>
    </row>
    <row r="25">
      <c r="A25" s="4" t="inlineStr">
        <is>
          <t>numpy / numba / pyarrow / scipy versions</t>
        </is>
      </c>
      <c r="B25" s="17" t="n"/>
      <c r="C25" s="18" t="inlineStr"/>
    </row>
    <row r="26">
      <c r="A26" s="16" t="inlineStr">
        <is>
          <t>TOOLS USED FOR THE REVIEW</t>
        </is>
      </c>
      <c r="B26" s="8" t="n"/>
      <c r="C26" s="8" t="n"/>
    </row>
    <row r="27">
      <c r="A27" s="4" t="inlineStr">
        <is>
          <t>Spreadsheet software (e.g., Microsoft Excel 365, version)</t>
        </is>
      </c>
      <c r="B27" s="17" t="n"/>
      <c r="C27" s="18" t="inlineStr"/>
    </row>
    <row r="28">
      <c r="A28" s="4" t="inlineStr">
        <is>
          <t>Text editor or code viewer (e.g., VS Code, GitHub website)</t>
        </is>
      </c>
      <c r="B28" s="17" t="n"/>
      <c r="C28" s="18" t="inlineStr"/>
    </row>
    <row r="29">
      <c r="A29" s="4" t="inlineStr">
        <is>
          <t>Terminal (e.g., PowerShell, macOS Terminal)</t>
        </is>
      </c>
      <c r="B29" s="17" t="n"/>
      <c r="C29" s="18" t="inlineStr"/>
    </row>
    <row r="30">
      <c r="A30" s="4" t="inlineStr">
        <is>
          <t>PDF / Word viewer</t>
        </is>
      </c>
      <c r="B30" s="17" t="n"/>
      <c r="C30" s="18" t="inlineStr"/>
    </row>
    <row r="31">
      <c r="A31" s="4" t="inlineStr">
        <is>
          <t>Other tools (e.g., Git, R, calculator)</t>
        </is>
      </c>
      <c r="B31" s="17" t="n"/>
      <c r="C31" s="18" t="inlineStr"/>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L104"/>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38" customWidth="1" min="3" max="3"/>
    <col width="60" customWidth="1" min="4" max="4"/>
    <col width="44" customWidth="1" min="5" max="5"/>
    <col width="36" customWidth="1" min="6" max="6"/>
    <col width="13" customWidth="1" min="7" max="7"/>
    <col width="13" customWidth="1" min="8" max="8"/>
    <col width="9" customWidth="1" min="9" max="9"/>
    <col width="36" customWidth="1" min="10" max="10"/>
    <col width="10" customWidth="1" min="11" max="11"/>
    <col width="36" customWidth="1" min="12" max="12"/>
  </cols>
  <sheetData>
    <row r="1">
      <c r="A1" s="1" t="inlineStr">
        <is>
          <t>Checklist</t>
        </is>
      </c>
    </row>
    <row r="2">
      <c r="A2" s="2" t="inlineStr">
        <is>
          <t>One row per task. Fill in the yellow columns. Fail rows need an Issue ID from the Issues log.</t>
        </is>
      </c>
    </row>
    <row r="4">
      <c r="A4" s="9" t="inlineStr">
        <is>
          <t>ID</t>
        </is>
      </c>
      <c r="B4" s="9" t="inlineStr">
        <is>
          <t>Section</t>
        </is>
      </c>
      <c r="C4" s="9" t="inlineStr">
        <is>
          <t>Task</t>
        </is>
      </c>
      <c r="D4" s="9" t="inlineStr">
        <is>
          <t>How to check</t>
        </is>
      </c>
      <c r="E4" s="9" t="inlineStr">
        <is>
          <t>Where to look</t>
        </is>
      </c>
      <c r="F4" s="9" t="inlineStr">
        <is>
          <t>Expected result</t>
        </is>
      </c>
      <c r="G4" s="9" t="inlineStr">
        <is>
          <t>Status</t>
        </is>
      </c>
      <c r="H4" s="9" t="inlineStr">
        <is>
          <t>Date checked</t>
        </is>
      </c>
      <c r="I4" s="9" t="inlineStr">
        <is>
          <t>Initials</t>
        </is>
      </c>
      <c r="J4" s="9" t="inlineStr">
        <is>
          <t>Evidence (file, screenshot, or description)</t>
        </is>
      </c>
      <c r="K4" s="9" t="inlineStr">
        <is>
          <t>Issue ID</t>
        </is>
      </c>
      <c r="L4" s="9" t="inlineStr">
        <is>
          <t>Notes</t>
        </is>
      </c>
    </row>
    <row r="5">
      <c r="A5" s="19" t="inlineStr">
        <is>
          <t>A. Setup and independence</t>
        </is>
      </c>
      <c r="B5" s="8" t="n"/>
      <c r="C5" s="8" t="n"/>
      <c r="D5" s="8" t="n"/>
      <c r="E5" s="8" t="n"/>
      <c r="F5" s="8" t="n"/>
      <c r="G5" s="8" t="n"/>
      <c r="H5" s="8" t="n"/>
      <c r="I5" s="8" t="n"/>
      <c r="J5" s="8" t="n"/>
      <c r="K5" s="8" t="n"/>
      <c r="L5" s="8" t="n"/>
    </row>
    <row r="6">
      <c r="A6" s="20" t="inlineStr">
        <is>
          <t>A1</t>
        </is>
      </c>
      <c r="B6" s="20" t="inlineStr">
        <is>
          <t>Setup and independence</t>
        </is>
      </c>
      <c r="C6" s="20" t="inlineStr">
        <is>
          <t>Record who you are and your relationship to the study</t>
        </is>
      </c>
      <c r="D6" s="20" t="inlineStr">
        <is>
          <t>Fill in the Reviewer sheet. State whether you contributed to the study's code, data, or writing.</t>
        </is>
      </c>
      <c r="E6" s="20" t="inlineStr">
        <is>
          <t>Reviewer sheet</t>
        </is>
      </c>
      <c r="F6" s="20" t="inlineStr">
        <is>
          <t>Reviewer sheet complete; any relationship to the authors disclosed</t>
        </is>
      </c>
      <c r="G6" s="21" t="inlineStr">
        <is>
          <t>Not started</t>
        </is>
      </c>
      <c r="H6" s="22" t="n"/>
      <c r="I6" s="21" t="n"/>
      <c r="J6" s="21" t="n"/>
      <c r="K6" s="21" t="n"/>
      <c r="L6" s="21" t="n"/>
    </row>
    <row r="7">
      <c r="A7" s="20" t="inlineStr">
        <is>
          <t>A2</t>
        </is>
      </c>
      <c r="B7" s="20" t="inlineStr">
        <is>
          <t>Setup and independence</t>
        </is>
      </c>
      <c r="C7" s="20" t="inlineStr">
        <is>
          <t>Use a fresh copy of the project</t>
        </is>
      </c>
      <c r="D7" s="20" t="inlineStr">
        <is>
          <t>Download the project from GitHub (ZIP or git clone) into a new, empty folder. Do not use the author's computer or an existing copy.</t>
        </is>
      </c>
      <c r="E7" s="20" t="inlineStr">
        <is>
          <t>start-here/README.md, step 3</t>
        </is>
      </c>
      <c r="F7" s="20" t="inlineStr">
        <is>
          <t>A new project folder on your own computer</t>
        </is>
      </c>
      <c r="G7" s="21" t="inlineStr">
        <is>
          <t>Not started</t>
        </is>
      </c>
      <c r="H7" s="22" t="n"/>
      <c r="I7" s="21" t="n"/>
      <c r="J7" s="21" t="n"/>
      <c r="K7" s="21" t="n"/>
      <c r="L7" s="21" t="n"/>
    </row>
    <row r="8">
      <c r="A8" s="20" t="inlineStr">
        <is>
          <t>A3</t>
        </is>
      </c>
      <c r="B8" s="20" t="inlineStr">
        <is>
          <t>Setup and independence</t>
        </is>
      </c>
      <c r="C8" s="20" t="inlineStr">
        <is>
          <t>Record the project version you are reviewing</t>
        </is>
      </c>
      <c r="D8" s="20" t="inlineStr">
        <is>
          <t>Git: run  git rev-parse HEAD  in the project folder. ZIP: record the download date and time. The re-run also records it in environment.txt ('Project version').</t>
        </is>
      </c>
      <c r="E8" s="20" t="inlineStr">
        <is>
          <t>Reviewer sheet; start-here/logs/run_*/environment.txt</t>
        </is>
      </c>
      <c r="F8" s="20" t="inlineStr">
        <is>
          <t>Commit ID (or ZIP download date) recorded</t>
        </is>
      </c>
      <c r="G8" s="21" t="inlineStr">
        <is>
          <t>Not started</t>
        </is>
      </c>
      <c r="H8" s="22" t="n"/>
      <c r="I8" s="21" t="n"/>
      <c r="J8" s="21" t="n"/>
      <c r="K8" s="21" t="n"/>
      <c r="L8" s="21" t="n"/>
    </row>
    <row r="9">
      <c r="A9" s="20" t="inlineStr">
        <is>
          <t>A4</t>
        </is>
      </c>
      <c r="B9" s="20" t="inlineStr">
        <is>
          <t>Setup and independence</t>
        </is>
      </c>
      <c r="C9" s="20" t="inlineStr">
        <is>
          <t>Install the software exactly as instructed</t>
        </is>
      </c>
      <c r="D9" s="20" t="inlineStr">
        <is>
          <t>Follow start-here/README.md steps 1 to 5 without changes. Note any step you had to change or that was unclear.</t>
        </is>
      </c>
      <c r="E9" s="20" t="inlineStr">
        <is>
          <t>start-here/README.md, steps 1-5</t>
        </is>
      </c>
      <c r="F9" s="20" t="inlineStr">
        <is>
          <t>Setup ends with 'Successfully installed'; deviations noted</t>
        </is>
      </c>
      <c r="G9" s="21" t="inlineStr">
        <is>
          <t>Not started</t>
        </is>
      </c>
      <c r="H9" s="22" t="n"/>
      <c r="I9" s="21" t="n"/>
      <c r="J9" s="21" t="n"/>
      <c r="K9" s="21" t="n"/>
      <c r="L9" s="21" t="n"/>
    </row>
    <row r="10">
      <c r="A10" s="20" t="inlineStr">
        <is>
          <t>A5</t>
        </is>
      </c>
      <c r="B10" s="20" t="inlineStr">
        <is>
          <t>Setup and independence</t>
        </is>
      </c>
      <c r="C10" s="20" t="inlineStr">
        <is>
          <t>Confirm the pinned DuckDB version</t>
        </is>
      </c>
      <c r="D10" s="20" t="inlineStr">
        <is>
          <t>Run  .venv/bin/python -c "import duckdb; print(duckdb.__version__)"</t>
        </is>
      </c>
      <c r="E10" s="20" t="inlineStr">
        <is>
          <t>pyproject.toml; requirements.txt</t>
        </is>
      </c>
      <c r="F10" s="20" t="inlineStr">
        <is>
          <t>1.5.6 (random draws depend on this version)</t>
        </is>
      </c>
      <c r="G10" s="21" t="inlineStr">
        <is>
          <t>Not started</t>
        </is>
      </c>
      <c r="H10" s="22" t="n"/>
      <c r="I10" s="21" t="n"/>
      <c r="J10" s="21" t="n"/>
      <c r="K10" s="21" t="n"/>
      <c r="L10" s="21" t="n"/>
    </row>
    <row r="11">
      <c r="A11" s="19" t="inlineStr">
        <is>
          <t>B. Re-run with date-stamped logs</t>
        </is>
      </c>
      <c r="B11" s="8" t="n"/>
      <c r="C11" s="8" t="n"/>
      <c r="D11" s="8" t="n"/>
      <c r="E11" s="8" t="n"/>
      <c r="F11" s="8" t="n"/>
      <c r="G11" s="8" t="n"/>
      <c r="H11" s="8" t="n"/>
      <c r="I11" s="8" t="n"/>
      <c r="J11" s="8" t="n"/>
      <c r="K11" s="8" t="n"/>
      <c r="L11" s="8" t="n"/>
    </row>
    <row r="12">
      <c r="A12" s="20" t="inlineStr">
        <is>
          <t>B1</t>
        </is>
      </c>
      <c r="B12" s="20" t="inlineStr">
        <is>
          <t>Re-run with date-stamped logs</t>
        </is>
      </c>
      <c r="C12" s="20" t="inlineStr">
        <is>
          <t>Run the quick trial</t>
        </is>
      </c>
      <c r="D12" s="20" t="inlineStr">
        <is>
          <t>Run  .venv/bin/python start-here/run_all.py --quick  and record the log folder name.</t>
        </is>
      </c>
      <c r="E12" s="20" t="inlineStr">
        <is>
          <t>start-here/logs/run_&lt;date&gt;_&lt;time&gt;_quick/</t>
        </is>
      </c>
      <c r="F12" s="20" t="inlineStr">
        <is>
          <t>Ends with 'Your setup works.'</t>
        </is>
      </c>
      <c r="G12" s="21" t="inlineStr">
        <is>
          <t>Not started</t>
        </is>
      </c>
      <c r="H12" s="22" t="n"/>
      <c r="I12" s="21" t="n"/>
      <c r="J12" s="21" t="n"/>
      <c r="K12" s="21" t="n"/>
      <c r="L12" s="21" t="n"/>
    </row>
    <row r="13">
      <c r="A13" s="20" t="inlineStr">
        <is>
          <t>B2</t>
        </is>
      </c>
      <c r="B13" s="20" t="inlineStr">
        <is>
          <t>Re-run with date-stamped logs</t>
        </is>
      </c>
      <c r="C13" s="20" t="inlineStr">
        <is>
          <t>Start the full replication and record the start date and time</t>
        </is>
      </c>
      <c r="D13" s="20" t="inlineStr">
        <is>
          <t>Run  .venv/bin/python start-here/run_all.py . Record the start time on the Run log sheet.</t>
        </is>
      </c>
      <c r="E13" s="20" t="inlineStr">
        <is>
          <t>start-here/logs/run_&lt;date&gt;_&lt;time&gt;/run_log.txt (first line)</t>
        </is>
      </c>
      <c r="F13" s="20" t="inlineStr">
        <is>
          <t>Run started; log folder created</t>
        </is>
      </c>
      <c r="G13" s="21" t="inlineStr">
        <is>
          <t>Not started</t>
        </is>
      </c>
      <c r="H13" s="22" t="n"/>
      <c r="I13" s="21" t="n"/>
      <c r="J13" s="21" t="n"/>
      <c r="K13" s="21" t="n"/>
      <c r="L13" s="21" t="n"/>
    </row>
    <row r="14">
      <c r="A14" s="20" t="inlineStr">
        <is>
          <t>B3</t>
        </is>
      </c>
      <c r="B14" s="20" t="inlineStr">
        <is>
          <t>Re-run with date-stamped logs</t>
        </is>
      </c>
      <c r="C14" s="20" t="inlineStr">
        <is>
          <t>Stage 1 completed: populations built and calibration checks passed</t>
        </is>
      </c>
      <c r="D14" s="20" t="inlineStr">
        <is>
          <t>In run_log.txt, find 'Stage 1 finished'. Open each errors/output*/.../checks.json and confirm every check passes.</t>
        </is>
      </c>
      <c r="E14" s="20" t="inlineStr">
        <is>
          <t>run_log.txt; */errors/output*/*/checks.json</t>
        </is>
      </c>
      <c r="F14" s="20" t="inlineStr">
        <is>
          <t>Stage 1 finished; all calibration checks pass</t>
        </is>
      </c>
      <c r="G14" s="21" t="inlineStr">
        <is>
          <t>Not started</t>
        </is>
      </c>
      <c r="H14" s="22" t="n"/>
      <c r="I14" s="21" t="n"/>
      <c r="J14" s="21" t="n"/>
      <c r="K14" s="21" t="n"/>
      <c r="L14" s="21" t="n"/>
    </row>
    <row r="15">
      <c r="A15" s="20" t="inlineStr">
        <is>
          <t>B4</t>
        </is>
      </c>
      <c r="B15" s="20" t="inlineStr">
        <is>
          <t>Re-run with date-stamped logs</t>
        </is>
      </c>
      <c r="C15" s="20" t="inlineStr">
        <is>
          <t>Stage 2 completed: reported estimates (parametric-rate bootstrap)</t>
        </is>
      </c>
      <c r="D15" s="20" t="inlineStr">
        <is>
          <t>Find 'Stage 2 finished' in run_log.txt. Record the time on the Run log sheet.</t>
        </is>
      </c>
      <c r="E15" s="20" t="inlineStr">
        <is>
          <t>run_log.txt; */estimation/results/</t>
        </is>
      </c>
      <c r="F15" s="20" t="inlineStr">
        <is>
          <t>Stage 2 finished, no FAILED lines</t>
        </is>
      </c>
      <c r="G15" s="21" t="inlineStr">
        <is>
          <t>Not started</t>
        </is>
      </c>
      <c r="H15" s="22" t="n"/>
      <c r="I15" s="21" t="n"/>
      <c r="J15" s="21" t="n"/>
      <c r="K15" s="21" t="n"/>
      <c r="L15" s="21" t="n"/>
    </row>
    <row r="16">
      <c r="A16" s="20" t="inlineStr">
        <is>
          <t>B5</t>
        </is>
      </c>
      <c r="B16" s="20" t="inlineStr">
        <is>
          <t>Re-run with date-stamped logs</t>
        </is>
      </c>
      <c r="C16" s="20" t="inlineStr">
        <is>
          <t>Stage 3 completed: fixed-rate comparison</t>
        </is>
      </c>
      <c r="D16" s="20" t="inlineStr">
        <is>
          <t>Find 'Stage 3 finished' in run_log.txt.</t>
        </is>
      </c>
      <c r="E16" s="20" t="inlineStr">
        <is>
          <t>run_log.txt; */estimation/results_fixed/</t>
        </is>
      </c>
      <c r="F16" s="20" t="inlineStr">
        <is>
          <t>Stage 3 finished, no FAILED lines</t>
        </is>
      </c>
      <c r="G16" s="21" t="inlineStr">
        <is>
          <t>Not started</t>
        </is>
      </c>
      <c r="H16" s="22" t="n"/>
      <c r="I16" s="21" t="n"/>
      <c r="J16" s="21" t="n"/>
      <c r="K16" s="21" t="n"/>
      <c r="L16" s="21" t="n"/>
    </row>
    <row r="17">
      <c r="A17" s="20" t="inlineStr">
        <is>
          <t>B6</t>
        </is>
      </c>
      <c r="B17" s="20" t="inlineStr">
        <is>
          <t>Re-run with date-stamped logs</t>
        </is>
      </c>
      <c r="C17" s="20" t="inlineStr">
        <is>
          <t>Stage 4 completed: Part D pre-IRA reference</t>
        </is>
      </c>
      <c r="D17" s="20" t="inlineStr">
        <is>
          <t>Find 'Stage 4 finished' in run_log.txt.</t>
        </is>
      </c>
      <c r="E17" s="20" t="inlineStr">
        <is>
          <t>run_log.txt; part-d-ipm/pre-ira-reference.md</t>
        </is>
      </c>
      <c r="F17" s="20" t="inlineStr">
        <is>
          <t>Stage 4 finished, no FAILED lines</t>
        </is>
      </c>
      <c r="G17" s="21" t="inlineStr">
        <is>
          <t>Not started</t>
        </is>
      </c>
      <c r="H17" s="22" t="n"/>
      <c r="I17" s="21" t="n"/>
      <c r="J17" s="21" t="n"/>
      <c r="K17" s="21" t="n"/>
      <c r="L17" s="21" t="n"/>
    </row>
    <row r="18">
      <c r="A18" s="20" t="inlineStr">
        <is>
          <t>B7</t>
        </is>
      </c>
      <c r="B18" s="20" t="inlineStr">
        <is>
          <t>Re-run with date-stamped logs</t>
        </is>
      </c>
      <c r="C18" s="20" t="inlineStr">
        <is>
          <t>Stages 5 and 6 completed: report and manuscript tables</t>
        </is>
      </c>
      <c r="D18" s="20" t="inlineStr">
        <is>
          <t>Find 'Stage 5 finished' and 'Stage 6 finished' in run_log.txt.</t>
        </is>
      </c>
      <c r="E18" s="20" t="inlineStr">
        <is>
          <t>run_log.txt; shared/results/report/; manuscripts/generated/</t>
        </is>
      </c>
      <c r="F18" s="20" t="inlineStr">
        <is>
          <t>Both stages finished</t>
        </is>
      </c>
      <c r="G18" s="21" t="inlineStr">
        <is>
          <t>Not started</t>
        </is>
      </c>
      <c r="H18" s="22" t="n"/>
      <c r="I18" s="21" t="n"/>
      <c r="J18" s="21" t="n"/>
      <c r="K18" s="21" t="n"/>
      <c r="L18" s="21" t="n"/>
    </row>
    <row r="19">
      <c r="A19" s="20" t="inlineStr">
        <is>
          <t>B8</t>
        </is>
      </c>
      <c r="B19" s="20" t="inlineStr">
        <is>
          <t>Re-run with date-stamped logs</t>
        </is>
      </c>
      <c r="C19" s="20" t="inlineStr">
        <is>
          <t>Stage 7 completed: automated tests pass</t>
        </is>
      </c>
      <c r="D19" s="20" t="inlineStr">
        <is>
          <t>Open the stage7 log. The last pytest line reports the number passed.</t>
        </is>
      </c>
      <c r="E19" s="20" t="inlineStr">
        <is>
          <t>start-here/logs/run_*/stage7_01_pytest.log</t>
        </is>
      </c>
      <c r="F19" s="20" t="inlineStr">
        <is>
          <t>All tests passed, 0 failed</t>
        </is>
      </c>
      <c r="G19" s="21" t="inlineStr">
        <is>
          <t>Not started</t>
        </is>
      </c>
      <c r="H19" s="22" t="n"/>
      <c r="I19" s="21" t="n"/>
      <c r="J19" s="21" t="n"/>
      <c r="K19" s="21" t="n"/>
      <c r="L19" s="21" t="n"/>
    </row>
    <row r="20">
      <c r="A20" s="20" t="inlineStr">
        <is>
          <t>B9</t>
        </is>
      </c>
      <c r="B20" s="20" t="inlineStr">
        <is>
          <t>Re-run with date-stamped logs</t>
        </is>
      </c>
      <c r="C20" s="20" t="inlineStr">
        <is>
          <t>Stage 8: the result check reproduces the published results</t>
        </is>
      </c>
      <c r="D20" s="20" t="inlineStr">
        <is>
          <t>Open the stage8 log (or verification/verify_check.txt after collecting).</t>
        </is>
      </c>
      <c r="E20" s="20" t="inlineStr">
        <is>
          <t>start-here/logs/run_*/stage8_01_start_here_verify.log</t>
        </is>
      </c>
      <c r="F20" s="20" t="inlineStr">
        <is>
          <t>REPRODUCED EXACTLY (or REPRODUCED, with the reason explained in Notes)</t>
        </is>
      </c>
      <c r="G20" s="21" t="inlineStr">
        <is>
          <t>Not started</t>
        </is>
      </c>
      <c r="H20" s="22" t="n"/>
      <c r="I20" s="21" t="n"/>
      <c r="J20" s="21" t="n"/>
      <c r="K20" s="21" t="n"/>
      <c r="L20" s="21" t="n"/>
    </row>
    <row r="21">
      <c r="A21" s="20" t="inlineStr">
        <is>
          <t>B10</t>
        </is>
      </c>
      <c r="B21" s="20" t="inlineStr">
        <is>
          <t>Re-run with date-stamped logs</t>
        </is>
      </c>
      <c r="C21" s="20" t="inlineStr">
        <is>
          <t>If the run was interrupted, every stage still completed once</t>
        </is>
      </c>
      <c r="D21" s="20" t="inlineStr">
        <is>
          <t>If you resumed with --from, confirm that each stage 1-8 has a 'Stage N finished' line across the run folders.</t>
        </is>
      </c>
      <c r="E21" s="20" t="inlineStr">
        <is>
          <t>start-here/logs/run_*/run_log.txt</t>
        </is>
      </c>
      <c r="F21" s="20" t="inlineStr">
        <is>
          <t>Every stage finished at least once, in order; or N/A</t>
        </is>
      </c>
      <c r="G21" s="21" t="inlineStr">
        <is>
          <t>Not started</t>
        </is>
      </c>
      <c r="H21" s="22" t="n"/>
      <c r="I21" s="21" t="n"/>
      <c r="J21" s="21" t="n"/>
      <c r="K21" s="21" t="n"/>
      <c r="L21" s="21" t="n"/>
    </row>
    <row r="22">
      <c r="A22" s="20" t="inlineStr">
        <is>
          <t>B11</t>
        </is>
      </c>
      <c r="B22" s="20" t="inlineStr">
        <is>
          <t>Re-run with date-stamped logs</t>
        </is>
      </c>
      <c r="C22" s="20" t="inlineStr">
        <is>
          <t>The logs contain no errors</t>
        </is>
      </c>
      <c r="D22" s="20" t="inlineStr">
        <is>
          <t>Search every .log file for 'Traceback', 'Error', 'FAILED' and 'exit code: 1'. (A RuntimeWarning is not an error.)</t>
        </is>
      </c>
      <c r="E22" s="20" t="inlineStr">
        <is>
          <t>start-here/logs/run_*/*.log</t>
        </is>
      </c>
      <c r="F22" s="20" t="inlineStr">
        <is>
          <t>None found, or each explained in Notes</t>
        </is>
      </c>
      <c r="G22" s="21" t="inlineStr">
        <is>
          <t>Not started</t>
        </is>
      </c>
      <c r="H22" s="22" t="n"/>
      <c r="I22" s="21" t="n"/>
      <c r="J22" s="21" t="n"/>
      <c r="K22" s="21" t="n"/>
      <c r="L22" s="21" t="n"/>
    </row>
    <row r="23">
      <c r="A23" s="20" t="inlineStr">
        <is>
          <t>B12</t>
        </is>
      </c>
      <c r="B23" s="20" t="inlineStr">
        <is>
          <t>Re-run with date-stamped logs</t>
        </is>
      </c>
      <c r="C23" s="20" t="inlineStr">
        <is>
          <t>Collect the re-run into the QA holding space</t>
        </is>
      </c>
      <c r="D23" s="20" t="inlineStr">
        <is>
          <t>Run  .venv/bin/python qa/collect_rerun.py --reviewer "Your Name" --initials XX</t>
        </is>
      </c>
      <c r="E23" s="20" t="inlineStr">
        <is>
          <t>qa/reruns/&lt;date&gt;_&lt;initials&gt;/</t>
        </is>
      </c>
      <c r="F23" s="20" t="inlineStr">
        <is>
          <t>Folder created; RERUN_SUMMARY.md lists your runs and the result check</t>
        </is>
      </c>
      <c r="G23" s="21" t="inlineStr">
        <is>
          <t>Not started</t>
        </is>
      </c>
      <c r="H23" s="22" t="n"/>
      <c r="I23" s="21" t="n"/>
      <c r="J23" s="21" t="n"/>
      <c r="K23" s="21" t="n"/>
      <c r="L23" s="21" t="n"/>
    </row>
    <row r="24">
      <c r="A24" s="20" t="inlineStr">
        <is>
          <t>B13</t>
        </is>
      </c>
      <c r="B24" s="20" t="inlineStr">
        <is>
          <t>Re-run with date-stamped logs</t>
        </is>
      </c>
      <c r="C24" s="20" t="inlineStr">
        <is>
          <t>Review the environment record</t>
        </is>
      </c>
      <c r="D24" s="20" t="inlineStr">
        <is>
          <t>Open environment.txt in each run folder. Confirm the date, operating system, Python and package versions are yours.</t>
        </is>
      </c>
      <c r="E24" s="20" t="inlineStr">
        <is>
          <t>qa/reruns/&lt;date&gt;_&lt;initials&gt;/logs/run_*/environment.txt</t>
        </is>
      </c>
      <c r="F24" s="20" t="inlineStr">
        <is>
          <t>Matches your computer; copied to the Reviewer sheet</t>
        </is>
      </c>
      <c r="G24" s="21" t="inlineStr">
        <is>
          <t>Not started</t>
        </is>
      </c>
      <c r="H24" s="22" t="n"/>
      <c r="I24" s="21" t="n"/>
      <c r="J24" s="21" t="n"/>
      <c r="K24" s="21" t="n"/>
      <c r="L24" s="21" t="n"/>
    </row>
    <row r="25">
      <c r="A25" s="20" t="inlineStr">
        <is>
          <t>B14</t>
        </is>
      </c>
      <c r="B25" s="20" t="inlineStr">
        <is>
          <t>Re-run with date-stamped logs</t>
        </is>
      </c>
      <c r="C25" s="20" t="inlineStr">
        <is>
          <t>Review the file inventory</t>
        </is>
      </c>
      <c r="D25" s="20" t="inlineStr">
        <is>
          <t>Open file_inventory.csv in Excel. Filter matches_published for 'NO'.</t>
        </is>
      </c>
      <c r="E25" s="20" t="inlineStr">
        <is>
          <t>qa/reruns/&lt;date&gt;_&lt;initials&gt;/verification/file_inventory.csv</t>
        </is>
      </c>
      <c r="F25" s="20" t="inlineStr">
        <is>
          <t>No rows with 'NO', or each explained in Notes</t>
        </is>
      </c>
      <c r="G25" s="21" t="inlineStr">
        <is>
          <t>Not started</t>
        </is>
      </c>
      <c r="H25" s="22" t="n"/>
      <c r="I25" s="21" t="n"/>
      <c r="J25" s="21" t="n"/>
      <c r="K25" s="21" t="n"/>
      <c r="L25" s="21" t="n"/>
    </row>
    <row r="26">
      <c r="A26" s="19" t="inlineStr">
        <is>
          <t>C. Code review: key assumptions</t>
        </is>
      </c>
      <c r="B26" s="8" t="n"/>
      <c r="C26" s="8" t="n"/>
      <c r="D26" s="8" t="n"/>
      <c r="E26" s="8" t="n"/>
      <c r="F26" s="8" t="n"/>
      <c r="G26" s="8" t="n"/>
      <c r="H26" s="8" t="n"/>
      <c r="I26" s="8" t="n"/>
      <c r="J26" s="8" t="n"/>
      <c r="K26" s="8" t="n"/>
      <c r="L26" s="8" t="n"/>
    </row>
    <row r="27">
      <c r="A27" s="20" t="inlineStr">
        <is>
          <t>C1</t>
        </is>
      </c>
      <c r="B27" s="20" t="inlineStr">
        <is>
          <t>Code review: key assumptions</t>
        </is>
      </c>
      <c r="C27" s="20" t="inlineStr">
        <is>
          <t>Review is perfect: the audit finding equals the true error</t>
        </is>
      </c>
      <c r="D27" s="20" t="inlineStr">
        <is>
          <t>Confirm that the sampled units' y is read directly from the population's true y, with no review error or appeals.</t>
        </is>
      </c>
      <c r="E27" s="20" t="inlineStr">
        <is>
          <t>shared/sql/sample_srs.sql; shared/sql/sample_systematic.sql; */estimation/sql/*01_frame.sql</t>
        </is>
      </c>
      <c r="F27" s="20" t="inlineStr">
        <is>
          <t>Sample y = population y; no reviewer error modeled (manuscript Appendix B.6, item 1)</t>
        </is>
      </c>
      <c r="G27" s="21" t="inlineStr">
        <is>
          <t>Not started</t>
        </is>
      </c>
      <c r="H27" s="22" t="n"/>
      <c r="I27" s="21" t="n"/>
      <c r="J27" s="21" t="n"/>
      <c r="K27" s="21" t="n"/>
      <c r="L27" s="21" t="n"/>
    </row>
    <row r="28">
      <c r="A28" s="20" t="inlineStr">
        <is>
          <t>C2</t>
        </is>
      </c>
      <c r="B28" s="20" t="inlineStr">
        <is>
          <t>Code review: key assumptions</t>
        </is>
      </c>
      <c r="C28" s="20" t="inlineStr">
        <is>
          <t>One audit per audit year; every method uses only that audit</t>
        </is>
      </c>
      <c r="D28" s="20" t="inlineStr">
        <is>
          <t>Confirm that expansion, ratio and regression read the same sample table, and that the bootstrap simulation uses only that year's audit findings (Part D: its own 5,000-PDE audit).</t>
        </is>
      </c>
      <c r="E28" s="20" t="inlineStr">
        <is>
          <t>*/estimation/config.yaml (step order); shared/ipsim/simulation.py</t>
        </is>
      </c>
      <c r="F28" s="20" t="inlineStr">
        <is>
          <t>No method sees the population's true errors; Part D's two audits are as documented</t>
        </is>
      </c>
      <c r="G28" s="21" t="inlineStr">
        <is>
          <t>Not started</t>
        </is>
      </c>
      <c r="H28" s="22" t="n"/>
      <c r="I28" s="21" t="n"/>
      <c r="J28" s="21" t="n"/>
      <c r="K28" s="21" t="n"/>
      <c r="L28" s="21" t="n"/>
    </row>
    <row r="29">
      <c r="A29" s="20" t="inlineStr">
        <is>
          <t>C3</t>
        </is>
      </c>
      <c r="B29" s="20" t="inlineStr">
        <is>
          <t>Code review: key assumptions</t>
        </is>
      </c>
      <c r="C29" s="20" t="inlineStr">
        <is>
          <t>Errors are independent of selection within a stratum</t>
        </is>
      </c>
      <c r="D29" s="20" t="inlineStr">
        <is>
          <t>Confirm that errors are fabricated before sampling and that sample selection uses only stratum and unit id (not y).</t>
        </is>
      </c>
      <c r="E29" s="20" t="inlineStr">
        <is>
          <t>*/errors/sql/*apply_errors*.sql; shared/sql/sample_srs.sql; shared/sql/lib/00_rng.sql</t>
        </is>
      </c>
      <c r="F29" s="20" t="inlineStr">
        <is>
          <t>Selection keys never use y</t>
        </is>
      </c>
      <c r="G29" s="21" t="inlineStr">
        <is>
          <t>Not started</t>
        </is>
      </c>
      <c r="H29" s="22" t="n"/>
      <c r="I29" s="21" t="n"/>
      <c r="J29" s="21" t="n"/>
      <c r="K29" s="21" t="n"/>
      <c r="L29" s="21" t="n"/>
    </row>
    <row r="30">
      <c r="A30" s="20" t="inlineStr">
        <is>
          <t>C4</t>
        </is>
      </c>
      <c r="B30" s="20" t="inlineStr">
        <is>
          <t>Code review: key assumptions</t>
        </is>
      </c>
      <c r="C30" s="20" t="inlineStr">
        <is>
          <t>Neyman allocation uses the population's stratum standard deviations</t>
        </is>
      </c>
      <c r="D30" s="20" t="inlineStr">
        <is>
          <t>Confirm n_h is proportional to N_h x S_h, with S_h computed from the population (standing in for prior-year data), and sums to the stated audit size.</t>
        </is>
      </c>
      <c r="E30" s="20" t="inlineStr">
        <is>
          <t>eipm/estimation/sql/01_frame.sql; perm/estimation/sql/01_frame.sql, cert_01_frame.sql; part-d-ipm/estimation/sql/40_simulation_inputs.sql; allocation.json</t>
        </is>
      </c>
      <c r="F30" s="20" t="inlineStr">
        <is>
          <t>Neyman formula; sizes 2,000 (EIPM), 520 per state (PERM), 37,651 (CERT), 5,000 PDEs (Part D)</t>
        </is>
      </c>
      <c r="G30" s="21" t="inlineStr">
        <is>
          <t>Not started</t>
        </is>
      </c>
      <c r="H30" s="22" t="n"/>
      <c r="I30" s="21" t="n"/>
      <c r="J30" s="21" t="n"/>
      <c r="K30" s="21" t="n"/>
      <c r="L30" s="21" t="n"/>
    </row>
    <row r="31">
      <c r="A31" s="20" t="inlineStr">
        <is>
          <t>C5</t>
        </is>
      </c>
      <c r="B31" s="20" t="inlineStr">
        <is>
          <t>Code review: key assumptions</t>
        </is>
      </c>
      <c r="C31" s="20" t="inlineStr">
        <is>
          <t>Netting: errors netted within the payment unit before measures</t>
        </is>
      </c>
      <c r="D31" s="20" t="inlineStr">
        <is>
          <t>Confirm over = sum max(y,0), under = sum max(-y,0), gross = over + under, net = over - under, after netting per enrollee/beneficiary/claim.</t>
        </is>
      </c>
      <c r="E31" s="20" t="inlineStr">
        <is>
          <t>*/estimation/sql/*01_frame.sql; */errors/sql/*truth*.sql</t>
        </is>
      </c>
      <c r="F31" s="20" t="inlineStr">
        <is>
          <t>Matches manuscript Section 2.3</t>
        </is>
      </c>
      <c r="G31" s="21" t="inlineStr">
        <is>
          <t>Not started</t>
        </is>
      </c>
      <c r="H31" s="22" t="n"/>
      <c r="I31" s="21" t="n"/>
      <c r="J31" s="21" t="n"/>
      <c r="K31" s="21" t="n"/>
      <c r="L31" s="21" t="n"/>
    </row>
    <row r="32">
      <c r="A32" s="20" t="inlineStr">
        <is>
          <t>C6</t>
        </is>
      </c>
      <c r="B32" s="20" t="inlineStr">
        <is>
          <t>Code review: key assumptions</t>
        </is>
      </c>
      <c r="C32" s="20" t="inlineStr">
        <is>
          <t>Unknown payments (e.g., missing documentation) count as improper</t>
        </is>
      </c>
      <c r="D32" s="20" t="inlineStr">
        <is>
          <t>Confirm missing-documentation errors set the whole payment (or every HCC) to improper.</t>
        </is>
      </c>
      <c r="E32" s="20" t="inlineStr">
        <is>
          <t>part-c-ipm/errors/sql/04_apply_errors.sql; cert/errors/sql/02_apply_errors.sql</t>
        </is>
      </c>
      <c r="F32" s="20" t="inlineStr">
        <is>
          <t>Follows CMS practice (Appendix B.6, item 6)</t>
        </is>
      </c>
      <c r="G32" s="21" t="inlineStr">
        <is>
          <t>Not started</t>
        </is>
      </c>
      <c r="H32" s="22" t="n"/>
      <c r="I32" s="21" t="n"/>
      <c r="J32" s="21" t="n"/>
      <c r="K32" s="21" t="n"/>
      <c r="L32" s="21" t="n"/>
    </row>
    <row r="33">
      <c r="A33" s="20" t="inlineStr">
        <is>
          <t>C7</t>
        </is>
      </c>
      <c r="B33" s="20" t="inlineStr">
        <is>
          <t>Code review: key assumptions</t>
        </is>
      </c>
      <c r="C33" s="20" t="inlineStr">
        <is>
          <t>Calibration is one closed-form multiplier, with no iterative tuning</t>
        </is>
      </c>
      <c r="D33" s="20" t="inlineStr">
        <is>
          <t>Confirm each calibrated rate = base probability x (target dollars / expected dollars), and that the multiplier is logged.</t>
        </is>
      </c>
      <c r="E33" s="20" t="inlineStr">
        <is>
          <t>*/errors/sql/*apply_errors*.sql; part-d-ipm/errors/sql/03_init_calibration.sql; truth.json (by.calibration)</t>
        </is>
      </c>
      <c r="F33" s="20" t="inlineStr">
        <is>
          <t>One multiplier per target; recorded in truth.json</t>
        </is>
      </c>
      <c r="G33" s="21" t="inlineStr">
        <is>
          <t>Not started</t>
        </is>
      </c>
      <c r="H33" s="22" t="n"/>
      <c r="I33" s="21" t="n"/>
      <c r="J33" s="21" t="n"/>
      <c r="K33" s="21" t="n"/>
      <c r="L33" s="21" t="n"/>
    </row>
    <row r="34">
      <c r="A34" s="20" t="inlineStr">
        <is>
          <t>C8</t>
        </is>
      </c>
      <c r="B34" s="20" t="inlineStr">
        <is>
          <t>Code review: key assumptions</t>
        </is>
      </c>
      <c r="C34" s="20" t="inlineStr">
        <is>
          <t>Random draws are deterministic functions of (seed, stream, key)</t>
        </is>
      </c>
      <c r="D34" s="20" t="inlineStr">
        <is>
          <t>Confirm SQL draws hash a single string per stream and simulation draws use PCG64 seeded by SeedSequence([scenario seed, audit year]).</t>
        </is>
      </c>
      <c r="E34" s="20" t="inlineStr">
        <is>
          <t>shared/sql/lib/00_rng.sql; shared/ipsim/engine.py (child_seed); shared/ipsim/simulation.py</t>
        </is>
      </c>
      <c r="F34" s="20" t="inlineStr">
        <is>
          <t>No unseeded randomness anywhere</t>
        </is>
      </c>
      <c r="G34" s="21" t="inlineStr">
        <is>
          <t>Not started</t>
        </is>
      </c>
      <c r="H34" s="22" t="n"/>
      <c r="I34" s="21" t="n"/>
      <c r="J34" s="21" t="n"/>
      <c r="K34" s="21" t="n"/>
      <c r="L34" s="21" t="n"/>
    </row>
    <row r="35">
      <c r="A35" s="20" t="inlineStr">
        <is>
          <t>C9</t>
        </is>
      </c>
      <c r="B35" s="20" t="inlineStr">
        <is>
          <t>Code review: key assumptions</t>
        </is>
      </c>
      <c r="C35" s="20" t="inlineStr">
        <is>
          <t>Scale factors convert synthetic units to national dollars</t>
        </is>
      </c>
      <c r="D35" s="20" t="inlineStr">
        <is>
          <t>Confirm w_pop: Part C 100, Part D 500, EIPM 100, PERM 200, CERT 200; national dollars = rate x total payments x w_pop.</t>
        </is>
      </c>
      <c r="E35" s="20" t="inlineStr">
        <is>
          <t>*/errors/config.yaml (w_pop); shared/sql/report.sql</t>
        </is>
      </c>
      <c r="F35" s="20" t="inlineStr">
        <is>
          <t>Values as stated; rates are scale-free</t>
        </is>
      </c>
      <c r="G35" s="21" t="inlineStr">
        <is>
          <t>Not started</t>
        </is>
      </c>
      <c r="H35" s="22" t="n"/>
      <c r="I35" s="21" t="n"/>
      <c r="J35" s="21" t="n"/>
      <c r="K35" s="21" t="n"/>
      <c r="L35" s="21" t="n"/>
    </row>
    <row r="36">
      <c r="A36" s="20" t="inlineStr">
        <is>
          <t>C10</t>
        </is>
      </c>
      <c r="B36" s="20" t="inlineStr">
        <is>
          <t>Code review: key assumptions</t>
        </is>
      </c>
      <c r="C36" s="20" t="inlineStr">
        <is>
          <t>Analytic intervals: normal (1.96) with finite population correction</t>
        </is>
      </c>
      <c r="D36" s="20" t="inlineStr">
        <is>
          <t>Confirm expansion and ratio variances use the stratified SRS formula with (1 - n_h/N_h), and intervals are estimate +/- 1.96 SE.</t>
        </is>
      </c>
      <c r="E36" s="20" t="inlineStr">
        <is>
          <t>shared/sql/lib/02_estimators.sql (ipm_expansion, ipm_ratio)</t>
        </is>
      </c>
      <c r="F36" s="20" t="inlineStr">
        <is>
          <t>Matches manuscript Section 2.4</t>
        </is>
      </c>
      <c r="G36" s="21" t="inlineStr">
        <is>
          <t>Not started</t>
        </is>
      </c>
      <c r="H36" s="22" t="n"/>
      <c r="I36" s="21" t="n"/>
      <c r="J36" s="21" t="n"/>
      <c r="K36" s="21" t="n"/>
      <c r="L36" s="21" t="n"/>
    </row>
    <row r="37">
      <c r="A37" s="20" t="inlineStr">
        <is>
          <t>C11</t>
        </is>
      </c>
      <c r="B37" s="20" t="inlineStr">
        <is>
          <t>Code review: key assumptions</t>
        </is>
      </c>
      <c r="C37" s="20" t="inlineStr">
        <is>
          <t>Regression: models fit within strata; residual t interval</t>
        </is>
      </c>
      <c r="D37" s="20" t="inlineStr">
        <is>
          <t>Confirm design-weighted least squares within each model stratum, T = sum of predictions + weighted residuals, variance from residuals, t with df = n - model terms (one intercept per model stratum plus the slopes).</t>
        </is>
      </c>
      <c r="E37" s="20" t="inlineStr">
        <is>
          <t>shared/ipsim/regression.py; */estimation/sql/*30_regression.sql</t>
        </is>
      </c>
      <c r="F37" s="20" t="inlineStr">
        <is>
          <t>Matches manuscript Section 2.4</t>
        </is>
      </c>
      <c r="G37" s="21" t="inlineStr">
        <is>
          <t>Not started</t>
        </is>
      </c>
      <c r="H37" s="22" t="n"/>
      <c r="I37" s="21" t="n"/>
      <c r="J37" s="21" t="n"/>
      <c r="K37" s="21" t="n"/>
      <c r="L37" s="21" t="n"/>
    </row>
    <row r="38">
      <c r="A38" s="20" t="inlineStr">
        <is>
          <t>C12</t>
        </is>
      </c>
      <c r="B38" s="20" t="inlineStr">
        <is>
          <t>Code review: key assumptions</t>
        </is>
      </c>
      <c r="C38" s="20" t="inlineStr">
        <is>
          <t>Regression fallback: intercept-only with too few errors</t>
        </is>
      </c>
      <c r="D38" s="20" t="inlineStr">
        <is>
          <t>Confirm a stratum uses an intercept-only model when it has fewer than 10 audited errors in any measure, or fewer than (terms + 5) units; the same model serves every measure so gross = over + under exactly.</t>
        </is>
      </c>
      <c r="E38" s="20" t="inlineStr">
        <is>
          <t>shared/ipsim/regression.py; */estimation/config.yaml (reg_min_errors: 10)</t>
        </is>
      </c>
      <c r="F38" s="20" t="inlineStr">
        <is>
          <t>Threshold 10 errors; terms + 5 units</t>
        </is>
      </c>
      <c r="G38" s="21" t="inlineStr">
        <is>
          <t>Not started</t>
        </is>
      </c>
      <c r="H38" s="22" t="n"/>
      <c r="I38" s="21" t="n"/>
      <c r="J38" s="21" t="n"/>
      <c r="K38" s="21" t="n"/>
      <c r="L38" s="21" t="n"/>
    </row>
    <row r="39">
      <c r="A39" s="20" t="inlineStr">
        <is>
          <t>C13</t>
        </is>
      </c>
      <c r="B39" s="20" t="inlineStr">
        <is>
          <t>Code review: key assumptions</t>
        </is>
      </c>
      <c r="C39" s="20" t="inlineStr">
        <is>
          <t>Regression predictors by program</t>
        </is>
      </c>
      <c r="D39" s="20" t="inlineStr">
        <is>
          <t>Confirm reg_predictors: Part C x, demo_score, months, n_hcc; Part D x, gdc_sub, n_pde, catastrophic (post-strata LTC/LIS/other); EIPM x, age, hh_size, fpl_pct, months; PERM x, month, bene_n_pay, bene_paid; CERT x.</t>
        </is>
      </c>
      <c r="E39" s="20" t="inlineStr">
        <is>
          <t>*/estimation/config.yaml</t>
        </is>
      </c>
      <c r="F39" s="20" t="inlineStr">
        <is>
          <t>Predictors as listed in manuscript Section 2.4</t>
        </is>
      </c>
      <c r="G39" s="21" t="inlineStr">
        <is>
          <t>Not started</t>
        </is>
      </c>
      <c r="H39" s="22" t="n"/>
      <c r="I39" s="21" t="n"/>
      <c r="J39" s="21" t="n"/>
      <c r="K39" s="21" t="n"/>
      <c r="L39" s="21" t="n"/>
    </row>
    <row r="40">
      <c r="A40" s="20" t="inlineStr">
        <is>
          <t>C14</t>
        </is>
      </c>
      <c r="B40" s="20" t="inlineStr">
        <is>
          <t>Code review: key assumptions</t>
        </is>
      </c>
      <c r="C40" s="20" t="inlineStr">
        <is>
          <t>Plug-in simulation (fixed rates): p = f/n, q = g/f per donor kind</t>
        </is>
      </c>
      <c r="D40" s="20" t="inlineStr">
        <is>
          <t>Confirm each non-audited unit is in error with p_k, partial with q_k, partial size drawn uniformly from the audited partial sizes (Part C: a failed HCC loses its mean audited loss; an addition only goes to an enrollee with no failure in the iteration, and the addition-rate denominator is audited enrollees lacking the family with no overpayment finding).</t>
        </is>
      </c>
      <c r="E40" s="20" t="inlineStr">
        <is>
          <t>shared/ipsim/simulation.py; */estimation/*simulation.py; */estimation/sql/*40_simulation_inputs.sql</t>
        </is>
      </c>
      <c r="F40" s="20" t="inlineStr">
        <is>
          <t>Matches manuscript Section 2.5 and Appendix A.5</t>
        </is>
      </c>
      <c r="G40" s="21" t="inlineStr">
        <is>
          <t>Not started</t>
        </is>
      </c>
      <c r="H40" s="22" t="n"/>
      <c r="I40" s="21" t="n"/>
      <c r="J40" s="21" t="n"/>
      <c r="K40" s="21" t="n"/>
      <c r="L40" s="21" t="n"/>
    </row>
    <row r="41">
      <c r="A41" s="20" t="inlineStr">
        <is>
          <t>C15</t>
        </is>
      </c>
      <c r="B41" s="20" t="inlineStr">
        <is>
          <t>Code review: key assumptions</t>
        </is>
      </c>
      <c r="C41" s="20" t="inlineStr">
        <is>
          <t>Parametric-bootstrap simulation (parametric rates): binomial redraw each iteration</t>
        </is>
      </c>
      <c r="D41" s="20" t="inlineStr">
        <is>
          <t>Confirm the error count f~ = Binomial(n, f/n) is drawn first and the partial count g~ = Binomial(f~, g/f) from it (q~ = 0 when f~ = 0) before every iteration, in every program's kernel, and that zero-failure rates stay at zero.</t>
        </is>
      </c>
      <c r="E41" s="20" t="inlineStr">
        <is>
          <t>*/estimation/simulation.py (sim_rates: parametric)</t>
        </is>
      </c>
      <c r="F41" s="20" t="inlineStr">
        <is>
          <t>Matches manuscript Section 2.6</t>
        </is>
      </c>
      <c r="G41" s="21" t="inlineStr">
        <is>
          <t>Not started</t>
        </is>
      </c>
      <c r="H41" s="22" t="n"/>
      <c r="I41" s="21" t="n"/>
      <c r="J41" s="21" t="n"/>
      <c r="K41" s="21" t="n"/>
      <c r="L41" s="21" t="n"/>
    </row>
    <row r="42">
      <c r="A42" s="20" t="inlineStr">
        <is>
          <t>C16</t>
        </is>
      </c>
      <c r="B42" s="20" t="inlineStr">
        <is>
          <t>Code review: key assumptions</t>
        </is>
      </c>
      <c r="C42" s="20" t="inlineStr">
        <is>
          <t>Audited units keep their own findings</t>
        </is>
      </c>
      <c r="D42" s="20" t="inlineStr">
        <is>
          <t>Confirm the simulation assigns errors only to non-audited units and keeps each audited unit's actual finding.</t>
        </is>
      </c>
      <c r="E42" s="20" t="inlineStr">
        <is>
          <t>*/estimation/*simulation.py</t>
        </is>
      </c>
      <c r="F42" s="20" t="inlineStr">
        <is>
          <t>Audited units unchanged across iterations</t>
        </is>
      </c>
      <c r="G42" s="21" t="inlineStr">
        <is>
          <t>Not started</t>
        </is>
      </c>
      <c r="H42" s="22" t="n"/>
      <c r="I42" s="21" t="n"/>
      <c r="J42" s="21" t="n"/>
      <c r="K42" s="21" t="n"/>
      <c r="L42" s="21" t="n"/>
    </row>
    <row r="43">
      <c r="A43" s="20" t="inlineStr">
        <is>
          <t>C17</t>
        </is>
      </c>
      <c r="B43" s="20" t="inlineStr">
        <is>
          <t>Code review: key assumptions</t>
        </is>
      </c>
      <c r="C43" s="20" t="inlineStr">
        <is>
          <t>Simulation estimate and interval: mean and 2.5th-97.5th percentiles of 1,000 iterations</t>
        </is>
      </c>
      <c r="D43" s="20" t="inlineStr">
        <is>
          <t>Confirm sim_iterations: 1000 and the percentile interval.</t>
        </is>
      </c>
      <c r="E43" s="20" t="inlineStr">
        <is>
          <t>shared/ipsim/simulation.py; */estimation/config.yaml</t>
        </is>
      </c>
      <c r="F43" s="20" t="inlineStr">
        <is>
          <t>1,000 iterations; mean; 2.5th and 97.5th percentiles</t>
        </is>
      </c>
      <c r="G43" s="21" t="inlineStr">
        <is>
          <t>Not started</t>
        </is>
      </c>
      <c r="H43" s="22" t="n"/>
      <c r="I43" s="21" t="n"/>
      <c r="J43" s="21" t="n"/>
      <c r="K43" s="21" t="n"/>
      <c r="L43" s="21" t="n"/>
    </row>
    <row r="44">
      <c r="A44" s="20" t="inlineStr">
        <is>
          <t>C18</t>
        </is>
      </c>
      <c r="B44" s="20" t="inlineStr">
        <is>
          <t>Code review: key assumptions</t>
        </is>
      </c>
      <c r="C44" s="20" t="inlineStr">
        <is>
          <t>Scoring: coverage, 25 audit years, medians</t>
        </is>
      </c>
      <c r="D44" s="20" t="inlineStr">
        <is>
          <t>Confirm an interval covers if lower &lt;= truth &lt;= upper, undefined intervals count as not covering, and the report uses audit years 1-25 with medians.</t>
        </is>
      </c>
      <c r="E44" s="20" t="inlineStr">
        <is>
          <t>shared/sql/lib/02_estimators.sql (ipm_score); shared/sql/report.sql; shared/report.yaml (audit_years: 25)</t>
        </is>
      </c>
      <c r="F44" s="20" t="inlineStr">
        <is>
          <t>As stated in the README and manuscript Section 2.7</t>
        </is>
      </c>
      <c r="G44" s="21" t="inlineStr">
        <is>
          <t>Not started</t>
        </is>
      </c>
      <c r="H44" s="22" t="n"/>
      <c r="I44" s="21" t="n"/>
      <c r="J44" s="21" t="n"/>
      <c r="K44" s="21" t="n"/>
      <c r="L44" s="21" t="n"/>
    </row>
    <row r="45">
      <c r="A45" s="20" t="inlineStr">
        <is>
          <t>C19</t>
        </is>
      </c>
      <c r="B45" s="20" t="inlineStr">
        <is>
          <t>Code review: key assumptions</t>
        </is>
      </c>
      <c r="C45" s="20" t="inlineStr">
        <is>
          <t>Part C: population size, payment total and HCC model</t>
        </is>
      </c>
      <c r="D45" s="20" t="inlineStr">
        <is>
          <t>Confirm about 330,000 enrollees (x100), 550 contracts, payment scaled to $388.72B, HCC hierarchies (severe/mild within 10 illustrative families).</t>
        </is>
      </c>
      <c r="E45" s="20" t="inlineStr">
        <is>
          <t>part-c-ipm/errors/config.yaml; part-c-ipm/errors/sql/01-03*.sql</t>
        </is>
      </c>
      <c r="F45" s="20" t="inlineStr">
        <is>
          <t>Matches Appendix B.1</t>
        </is>
      </c>
      <c r="G45" s="21" t="inlineStr">
        <is>
          <t>Not started</t>
        </is>
      </c>
      <c r="H45" s="22" t="n"/>
      <c r="I45" s="21" t="n"/>
      <c r="J45" s="21" t="n"/>
      <c r="K45" s="21" t="n"/>
      <c r="L45" s="21" t="n"/>
    </row>
    <row r="46">
      <c r="A46" s="20" t="inlineStr">
        <is>
          <t>C20</t>
        </is>
      </c>
      <c r="B46" s="20" t="inlineStr">
        <is>
          <t>Code review: key assumptions</t>
        </is>
      </c>
      <c r="C46" s="20" t="inlineStr">
        <is>
          <t>Part C: error mechanisms and calibration targets</t>
        </is>
      </c>
      <c r="D46" s="20" t="inlineStr">
        <is>
          <t>Confirm unsupported HCCs (deleted or moved down), missing documentation, and supported-but-not-coded HCCs (underpayments); targets 5.29% unsupported, 0.22% missing documentation, 0.57% underpayments.</t>
        </is>
      </c>
      <c r="E46" s="20" t="inlineStr">
        <is>
          <t>part-c-ipm/errors/config.yaml (target_*); part-c-ipm/errors/sql/04_apply_errors.sql</t>
        </is>
      </c>
      <c r="F46" s="20" t="inlineStr">
        <is>
          <t>FY 2025 Part C: 6.09% gross, $21.43B over, $2.23B under</t>
        </is>
      </c>
      <c r="G46" s="21" t="inlineStr">
        <is>
          <t>Not started</t>
        </is>
      </c>
      <c r="H46" s="22" t="n"/>
      <c r="I46" s="21" t="n"/>
      <c r="J46" s="21" t="n"/>
      <c r="K46" s="21" t="n"/>
      <c r="L46" s="21" t="n"/>
    </row>
    <row r="47">
      <c r="A47" s="20" t="inlineStr">
        <is>
          <t>C21</t>
        </is>
      </c>
      <c r="B47" s="20" t="inlineStr">
        <is>
          <t>Code review: key assumptions</t>
        </is>
      </c>
      <c r="C47" s="20" t="inlineStr">
        <is>
          <t>Part C: audit design (990 enrollees, 330 per risk-score tercile)</t>
        </is>
      </c>
      <c r="D47" s="20" t="inlineStr">
        <is>
          <t>Confirm the estimation allocation and that the design block written to errors/output/base/design.yaml states the same 330 per tercile.</t>
        </is>
      </c>
      <c r="E47" s="20" t="inlineStr">
        <is>
          <t>part-c-ipm/estimation/config.yaml (allocation); part-c-ipm/errors/config.yaml (design)</t>
        </is>
      </c>
      <c r="F47" s="20" t="inlineStr">
        <is>
          <t>330 x 3 used and described</t>
        </is>
      </c>
      <c r="G47" s="21" t="inlineStr">
        <is>
          <t>Not started</t>
        </is>
      </c>
      <c r="H47" s="22" t="n"/>
      <c r="I47" s="21" t="n"/>
      <c r="J47" s="21" t="n"/>
      <c r="K47" s="21" t="n"/>
      <c r="L47" s="21" t="n"/>
    </row>
    <row r="48">
      <c r="A48" s="20" t="inlineStr">
        <is>
          <t>C22</t>
        </is>
      </c>
      <c r="B48" s="20" t="inlineStr">
        <is>
          <t>Code review: key assumptions</t>
        </is>
      </c>
      <c r="C48" s="20" t="inlineStr">
        <is>
          <t>Part C: expansion in risk-score units; simulation donors are HCCs</t>
        </is>
      </c>
      <c r="D48" s="20" t="inlineStr">
        <is>
          <t>Confirm expansion = mean risk-score error x tercile size x national mean county rate x months; simulation uses 20 HCC failure rates and 10 family addition rates, never extrapolating to unaudited HCCs.</t>
        </is>
      </c>
      <c r="E48" s="20" t="inlineStr">
        <is>
          <t>part-c-ipm/estimation/sql/10_expansion.sql; part-c-ipm/estimation/simulation.py; sql/40_simulation_inputs.sql</t>
        </is>
      </c>
      <c r="F48" s="20" t="inlineStr">
        <is>
          <t>Matches Appendix B.1</t>
        </is>
      </c>
      <c r="G48" s="21" t="inlineStr">
        <is>
          <t>Not started</t>
        </is>
      </c>
      <c r="H48" s="22" t="n"/>
      <c r="I48" s="21" t="n"/>
      <c r="J48" s="21" t="n"/>
      <c r="K48" s="21" t="n"/>
      <c r="L48" s="21" t="n"/>
    </row>
    <row r="49">
      <c r="A49" s="20" t="inlineStr">
        <is>
          <t>C23</t>
        </is>
      </c>
      <c r="B49" s="20" t="inlineStr">
        <is>
          <t>Code review: key assumptions</t>
        </is>
      </c>
      <c r="C49" s="20" t="inlineStr">
        <is>
          <t>Part D: post-IRA CY 2025 benefit parameters</t>
        </is>
      </c>
      <c r="D49" s="20" t="inlineStr">
        <is>
          <t>Confirm $590 deductible, $2,000 out-of-pocket threshold, 25% initial coinsurance, manufacturer 10%/20% (brand), reinsurance 20% brand/40% generic, LIS copays $4.90/$12.15.</t>
        </is>
      </c>
      <c r="E49" s="20" t="inlineStr">
        <is>
          <t>part-d-ipm/errors/config.yaml; part-d-ipm/errors/sql/05_benefit.sql</t>
        </is>
      </c>
      <c r="F49" s="20" t="inlineStr">
        <is>
          <t>Matches Appendix B.2 and CMS CY 2025 parameters</t>
        </is>
      </c>
      <c r="G49" s="21" t="inlineStr">
        <is>
          <t>Not started</t>
        </is>
      </c>
      <c r="H49" s="22" t="n"/>
      <c r="I49" s="21" t="n"/>
      <c r="J49" s="21" t="n"/>
      <c r="K49" s="21" t="n"/>
      <c r="L49" s="21" t="n"/>
    </row>
    <row r="50">
      <c r="A50" s="20" t="inlineStr">
        <is>
          <t>C24</t>
        </is>
      </c>
      <c r="B50" s="20" t="inlineStr">
        <is>
          <t>Code review: key assumptions</t>
        </is>
      </c>
      <c r="C50" s="20" t="inlineStr">
        <is>
          <t>Part D: error rates and sizes (not calibrated)</t>
        </is>
      </c>
      <c r="D50" s="20" t="inlineStr">
        <is>
          <t>Confirm 10% of LTC PDEs and 2.5% of other PDEs in error; 90% full (GDC to 0), 10% partial uniform on [-100%, 100%). Truth 1.38% (published FY 2025 rate 4.00% is intentionally not targeted).</t>
        </is>
      </c>
      <c r="E50" s="20" t="inlineStr">
        <is>
          <t>part-d-ipm/errors/config.yaml; part-d-ipm/errors/sql/02_candidate_errors.sql, 04_apply_errors.sql</t>
        </is>
      </c>
      <c r="F50" s="20" t="inlineStr">
        <is>
          <t>Matches Appendix B.2</t>
        </is>
      </c>
      <c r="G50" s="21" t="inlineStr">
        <is>
          <t>Not started</t>
        </is>
      </c>
      <c r="H50" s="22" t="n"/>
      <c r="I50" s="21" t="n"/>
      <c r="J50" s="21" t="n"/>
      <c r="K50" s="21" t="n"/>
      <c r="L50" s="21" t="n"/>
    </row>
    <row r="51">
      <c r="A51" s="20" t="inlineStr">
        <is>
          <t>C25</t>
        </is>
      </c>
      <c r="B51" s="20" t="inlineStr">
        <is>
          <t>Code review: key assumptions</t>
        </is>
      </c>
      <c r="C51" s="20" t="inlineStr">
        <is>
          <t>Part D: numpy payment function reproduces the SQL benefit to the cent</t>
        </is>
      </c>
      <c r="D51" s="20" t="inlineStr">
        <is>
          <t>Confirm the test exists and passed in stage 7.</t>
        </is>
      </c>
      <c r="E51" s="20" t="inlineStr">
        <is>
          <t>shared/tests/test_simulation.py; part-d-ipm/estimation/simulation.py</t>
        </is>
      </c>
      <c r="F51" s="20" t="inlineStr">
        <is>
          <t>Test present and passing</t>
        </is>
      </c>
      <c r="G51" s="21" t="inlineStr">
        <is>
          <t>Not started</t>
        </is>
      </c>
      <c r="H51" s="22" t="n"/>
      <c r="I51" s="21" t="n"/>
      <c r="J51" s="21" t="n"/>
      <c r="K51" s="21" t="n"/>
      <c r="L51" s="21" t="n"/>
    </row>
    <row r="52">
      <c r="A52" s="20" t="inlineStr">
        <is>
          <t>C26</t>
        </is>
      </c>
      <c r="B52" s="20" t="inlineStr">
        <is>
          <t>Code review: key assumptions</t>
        </is>
      </c>
      <c r="C52" s="20" t="inlineStr">
        <is>
          <t>Part D: two audits, the plug-in expansion and the PDE-level estimators</t>
        </is>
      </c>
      <c r="D52" s="20" t="inlineStr">
        <is>
          <t>Confirm the 990-beneficiary SRS with every PDE reviewed (ratio, regression) and the 5,000-PDE Neyman audit in 3 strata (plug-in expansion, PDE expansion, PDE ratio, simulation). Plug-in expansion applies a uniform reduction per stratum and reruns the benefit, with a delta-method interval. PDE expansion and PDE ratio use each audited PDE's marginal Medicare-payment effect (the beneficiary's benefit rerun with only that PDE corrected) in the shared ipm_expansion / ipm_ratio macros.</t>
        </is>
      </c>
      <c r="E52" s="20" t="inlineStr">
        <is>
          <t>part-d-ipm/estimation/config.yaml; sql/40_simulation_inputs.sql; simulation.py (run_expansion, marginal_effects, run_pde_estimators); shared/tests/test_simulation.py (test_part_d_pde_estimators_census)</t>
        </is>
      </c>
      <c r="F52" s="20" t="inlineStr">
        <is>
          <t>Matches manuscript Section 2.4 and Appendix B.2; census test passes</t>
        </is>
      </c>
      <c r="G52" s="21" t="inlineStr">
        <is>
          <t>Not started</t>
        </is>
      </c>
      <c r="H52" s="22" t="n"/>
      <c r="I52" s="21" t="n"/>
      <c r="J52" s="21" t="n"/>
      <c r="K52" s="21" t="n"/>
      <c r="L52" s="21" t="n"/>
    </row>
    <row r="53">
      <c r="A53" s="20" t="inlineStr">
        <is>
          <t>C27</t>
        </is>
      </c>
      <c r="B53" s="20" t="inlineStr">
        <is>
          <t>Code review: key assumptions</t>
        </is>
      </c>
      <c r="C53" s="20" t="inlineStr">
        <is>
          <t>Part D pre-IRA: CY 2023 benefit parameters</t>
        </is>
      </c>
      <c r="D53" s="20" t="inlineStr">
        <is>
          <t>Confirm $505 deductible, $4,660 initial coverage limit, $7,400 TrOOP threshold, 70% coverage-gap discount, 80% catastrophic reinsurance, LIS copays $4.15/$10.35.</t>
        </is>
      </c>
      <c r="E53" s="20" t="inlineStr">
        <is>
          <t>part-d-ipm/errors/pre_ira.yaml; part-d-ipm/errors/sql/05_benefit_pre_ira.sql</t>
        </is>
      </c>
      <c r="F53" s="20" t="inlineStr">
        <is>
          <t>Matches part-d-ipm/pre-ira-reference.md</t>
        </is>
      </c>
      <c r="G53" s="21" t="inlineStr">
        <is>
          <t>Not started</t>
        </is>
      </c>
      <c r="H53" s="22" t="n"/>
      <c r="I53" s="21" t="n"/>
      <c r="J53" s="21" t="n"/>
      <c r="K53" s="21" t="n"/>
      <c r="L53" s="21" t="n"/>
    </row>
    <row r="54">
      <c r="A54" s="20" t="inlineStr">
        <is>
          <t>C28</t>
        </is>
      </c>
      <c r="B54" s="20" t="inlineStr">
        <is>
          <t>Code review: key assumptions</t>
        </is>
      </c>
      <c r="C54" s="20" t="inlineStr">
        <is>
          <t>PERM: states, error rates and federal share</t>
        </is>
      </c>
      <c r="D54" s="20" t="inlineStr">
        <is>
          <t>Confirm 9 states with eligibility rates on a 2.00%-4.00% grid; FFS claims errors 6.5% (70% all-or-nothing, 30% partial), MC 0.3%; rates at federal share (sum y x FMAP / sum x x FMAP).</t>
        </is>
      </c>
      <c r="E54" s="20" t="inlineStr">
        <is>
          <t>perm/errors/config.yaml; perm/errors/sql/02*.sql, perm_03*.sql</t>
        </is>
      </c>
      <c r="F54" s="20" t="inlineStr">
        <is>
          <t>Matches Appendix B.3; pooled about 6.12%</t>
        </is>
      </c>
      <c r="G54" s="21" t="inlineStr">
        <is>
          <t>Not started</t>
        </is>
      </c>
      <c r="H54" s="22" t="n"/>
      <c r="I54" s="21" t="n"/>
      <c r="J54" s="21" t="n"/>
      <c r="K54" s="21" t="n"/>
      <c r="L54" s="21" t="n"/>
    </row>
    <row r="55">
      <c r="A55" s="20" t="inlineStr">
        <is>
          <t>C29</t>
        </is>
      </c>
      <c r="B55" s="20" t="inlineStr">
        <is>
          <t>Code review: key assumptions</t>
        </is>
      </c>
      <c r="C55" s="20" t="inlineStr">
        <is>
          <t>PERM: gross combines eligibility and claims errors without double counting</t>
        </is>
      </c>
      <c r="D55" s="20" t="inlineStr">
        <is>
          <t>Confirm gross = whole payment if the beneficiary is ineligible, otherwise the claims error.</t>
        </is>
      </c>
      <c r="E55" s="20" t="inlineStr">
        <is>
          <t>perm/errors/sql/04_truth.sql</t>
        </is>
      </c>
      <c r="F55" s="20" t="inlineStr">
        <is>
          <t>Claims + eligibility - overlap</t>
        </is>
      </c>
      <c r="G55" s="21" t="inlineStr">
        <is>
          <t>Not started</t>
        </is>
      </c>
      <c r="H55" s="22" t="n"/>
      <c r="I55" s="21" t="n"/>
      <c r="J55" s="21" t="n"/>
      <c r="K55" s="21" t="n"/>
      <c r="L55" s="21" t="n"/>
    </row>
    <row r="56">
      <c r="A56" s="20" t="inlineStr">
        <is>
          <t>C30</t>
        </is>
      </c>
      <c r="B56" s="20" t="inlineStr">
        <is>
          <t>Code review: key assumptions</t>
        </is>
      </c>
      <c r="C56" s="20" t="inlineStr">
        <is>
          <t>PERM: audit design and national pooling</t>
        </is>
      </c>
      <c r="D56" s="20" t="inlineStr">
        <is>
          <t>Confirm 520 payments per state, 10 strata (payment type x 5 quintiles), Neyman, systematic selection after sorting by amount; national pooling adds dollars and variances (analytic) and sums iteration totals (simulation).</t>
        </is>
      </c>
      <c r="E56" s="20" t="inlineStr">
        <is>
          <t>perm/estimation/config.yaml; shared/sql/sample_systematic.sql; perm/estimation/sql/95_national.sql</t>
        </is>
      </c>
      <c r="F56" s="20" t="inlineStr">
        <is>
          <t>Matches Appendix B.3</t>
        </is>
      </c>
      <c r="G56" s="21" t="inlineStr">
        <is>
          <t>Not started</t>
        </is>
      </c>
      <c r="H56" s="22" t="n"/>
      <c r="I56" s="21" t="n"/>
      <c r="J56" s="21" t="n"/>
      <c r="K56" s="21" t="n"/>
      <c r="L56" s="21" t="n"/>
    </row>
    <row r="57">
      <c r="A57" s="20" t="inlineStr">
        <is>
          <t>C31</t>
        </is>
      </c>
      <c r="B57" s="20" t="inlineStr">
        <is>
          <t>Code review: key assumptions</t>
        </is>
      </c>
      <c r="C57" s="20" t="inlineStr">
        <is>
          <t>EIPM: overpayments only; technical and monetary errors</t>
        </is>
      </c>
      <c r="D57" s="20" t="inlineStr">
        <is>
          <t>Confirm no underpayments; technical errors (whole APTC) are 48% of improper dollars; monetary errors raise supported income by a lognormal factor and recompute APTC; target 0.89%.</t>
        </is>
      </c>
      <c r="E57" s="20" t="inlineStr">
        <is>
          <t>eipm/errors/config.yaml; eipm/errors/sql/02_apply_errors.sql</t>
        </is>
      </c>
      <c r="F57" s="20" t="inlineStr">
        <is>
          <t>Matches Appendix B.4</t>
        </is>
      </c>
      <c r="G57" s="21" t="inlineStr">
        <is>
          <t>Not started</t>
        </is>
      </c>
      <c r="H57" s="22" t="n"/>
      <c r="I57" s="21" t="n"/>
      <c r="J57" s="21" t="n"/>
      <c r="K57" s="21" t="n"/>
      <c r="L57" s="21" t="n"/>
    </row>
    <row r="58">
      <c r="A58" s="20" t="inlineStr">
        <is>
          <t>C32</t>
        </is>
      </c>
      <c r="B58" s="20" t="inlineStr">
        <is>
          <t>Code review: key assumptions</t>
        </is>
      </c>
      <c r="C58" s="20" t="inlineStr">
        <is>
          <t>EIPM: APTC schedule and simulation income clipping</t>
        </is>
      </c>
      <c r="D58" s="20" t="inlineStr">
        <is>
          <t>Confirm the enhanced applicable-percentage schedule (0% to 8.5%) and that simulated incomes are clipped to 100-600% FPL.</t>
        </is>
      </c>
      <c r="E58" s="20" t="inlineStr">
        <is>
          <t>eipm/errors/config.yaml (applicable_schedule); eipm/estimation/simulation.py</t>
        </is>
      </c>
      <c r="F58" s="20" t="inlineStr">
        <is>
          <t>As stated</t>
        </is>
      </c>
      <c r="G58" s="21" t="inlineStr">
        <is>
          <t>Not started</t>
        </is>
      </c>
      <c r="H58" s="22" t="n"/>
      <c r="I58" s="21" t="n"/>
      <c r="J58" s="21" t="n"/>
      <c r="K58" s="21" t="n"/>
      <c r="L58" s="21" t="n"/>
    </row>
    <row r="59">
      <c r="A59" s="20" t="inlineStr">
        <is>
          <t>C33</t>
        </is>
      </c>
      <c r="B59" s="20" t="inlineStr">
        <is>
          <t>Code review: key assumptions</t>
        </is>
      </c>
      <c r="C59" s="20" t="inlineStr">
        <is>
          <t>EIPM: audit design</t>
        </is>
      </c>
      <c r="D59" s="20" t="inlineStr">
        <is>
          <t>Confirm stratified SRS of 2,000 applications, Neyman over 5 APTC quintiles (illustrative strata).</t>
        </is>
      </c>
      <c r="E59" s="20" t="inlineStr">
        <is>
          <t>eipm/estimation/config.yaml; eipm/estimation/sql/01_frame.sql</t>
        </is>
      </c>
      <c r="F59" s="20" t="inlineStr">
        <is>
          <t>Matches Appendix B.4</t>
        </is>
      </c>
      <c r="G59" s="21" t="inlineStr">
        <is>
          <t>Not started</t>
        </is>
      </c>
      <c r="H59" s="22" t="n"/>
      <c r="I59" s="21" t="n"/>
      <c r="J59" s="21" t="n"/>
      <c r="K59" s="21" t="n"/>
      <c r="L59" s="21" t="n"/>
    </row>
    <row r="60">
      <c r="A60" s="20" t="inlineStr">
        <is>
          <t>C34</t>
        </is>
      </c>
      <c r="B60" s="20" t="inlineStr">
        <is>
          <t>Code review: key assumptions</t>
        </is>
      </c>
      <c r="C60" s="20" t="inlineStr">
        <is>
          <t>CERT: claim types and payments</t>
        </is>
      </c>
      <c r="D60" s="20" t="inlineStr">
        <is>
          <t>Confirm 4 claim types (IPPS 40,000; Part A other 900,000; Part B 4,000,000; DMEPOS 400,000 synthetic claims) scaled to $118.5B, $197.9B, $114.1B, $9.4B ($439.9B).</t>
        </is>
      </c>
      <c r="E60" s="20" t="inlineStr">
        <is>
          <t>cert/errors/config.yaml; cert/errors/sql/01_population.sql</t>
        </is>
      </c>
      <c r="F60" s="20" t="inlineStr">
        <is>
          <t>Matches Appendix B.5</t>
        </is>
      </c>
      <c r="G60" s="21" t="inlineStr">
        <is>
          <t>Not started</t>
        </is>
      </c>
      <c r="H60" s="22" t="n"/>
      <c r="I60" s="21" t="n"/>
      <c r="J60" s="21" t="n"/>
      <c r="K60" s="21" t="n"/>
      <c r="L60" s="21" t="n"/>
    </row>
    <row r="61">
      <c r="A61" s="20" t="inlineStr">
        <is>
          <t>C35</t>
        </is>
      </c>
      <c r="B61" s="20" t="inlineStr">
        <is>
          <t>Code review: key assumptions</t>
        </is>
      </c>
      <c r="C61" s="20" t="inlineStr">
        <is>
          <t>CERT: error mix and calibration</t>
        </is>
      </c>
      <c r="D61" s="20" t="inlineStr">
        <is>
          <t>Confirm whole-claim overpayments 92% of overpayment dollars, partial 8% (5-60% of payment), underpayments 5-50%; per-type closed-form rates from FY 2025 dollars.</t>
        </is>
      </c>
      <c r="E61" s="20" t="inlineStr">
        <is>
          <t>cert/errors/config.yaml; cert/errors/sql/02_apply_errors.sql</t>
        </is>
      </c>
      <c r="F61" s="20" t="inlineStr">
        <is>
          <t>Truth 6.50% gross (published 6.55%); $0.92B under</t>
        </is>
      </c>
      <c r="G61" s="21" t="inlineStr">
        <is>
          <t>Not started</t>
        </is>
      </c>
      <c r="H61" s="22" t="n"/>
      <c r="I61" s="21" t="n"/>
      <c r="J61" s="21" t="n"/>
      <c r="K61" s="21" t="n"/>
      <c r="L61" s="21" t="n"/>
    </row>
    <row r="62">
      <c r="A62" s="20" t="inlineStr">
        <is>
          <t>C36</t>
        </is>
      </c>
      <c r="B62" s="20" t="inlineStr">
        <is>
          <t>Code review: key assumptions</t>
        </is>
      </c>
      <c r="C62" s="20" t="inlineStr">
        <is>
          <t>CERT: audit design</t>
        </is>
      </c>
      <c r="D62" s="20" t="inlineStr">
        <is>
          <t>Confirm 37,651 claims (IPPS 8,750; Part A other 8,651; Part B 11,600; DMEPOS 8,650), Neyman across 5 payment quintiles within type; no MAC jurisdictions; no A-to-B rebilling.</t>
        </is>
      </c>
      <c r="E62" s="20" t="inlineStr">
        <is>
          <t>cert/estimation/config.yaml; sql/cert_01_frame.sql, cert_02_sample.sql</t>
        </is>
      </c>
      <c r="F62" s="20" t="inlineStr">
        <is>
          <t>Matches Appendix B.5</t>
        </is>
      </c>
      <c r="G62" s="21" t="inlineStr">
        <is>
          <t>Not started</t>
        </is>
      </c>
      <c r="H62" s="22" t="n"/>
      <c r="I62" s="21" t="n"/>
      <c r="J62" s="21" t="n"/>
      <c r="K62" s="21" t="n"/>
      <c r="L62" s="21" t="n"/>
    </row>
    <row r="63">
      <c r="A63" s="20" t="inlineStr">
        <is>
          <t>C37</t>
        </is>
      </c>
      <c r="B63" s="20" t="inlineStr">
        <is>
          <t>Code review: key assumptions</t>
        </is>
      </c>
      <c r="C63" s="20" t="inlineStr">
        <is>
          <t>Audit-size projection formula</t>
        </is>
      </c>
      <c r="D63" s="20" t="inlineStr">
        <is>
          <t>Confirm the share of the current audit = (parametric half-width / analytic half-width) squared, with the ratio estimator as comparator (Part D: the PDE ratio on the same audit).</t>
        </is>
      </c>
      <c r="E63" s="20" t="inlineStr">
        <is>
          <t>manuscripts/scripts/build_tables.py (cmp_method)</t>
        </is>
      </c>
      <c r="F63" s="20" t="inlineStr">
        <is>
          <t>Matches manuscript Sections 2.7 and 4.2</t>
        </is>
      </c>
      <c r="G63" s="21" t="inlineStr">
        <is>
          <t>Not started</t>
        </is>
      </c>
      <c r="H63" s="22" t="n"/>
      <c r="I63" s="21" t="n"/>
      <c r="J63" s="21" t="n"/>
      <c r="K63" s="21" t="n"/>
      <c r="L63" s="21" t="n"/>
    </row>
    <row r="64">
      <c r="A64" s="20" t="inlineStr">
        <is>
          <t>C38</t>
        </is>
      </c>
      <c r="B64" s="20" t="inlineStr">
        <is>
          <t>Code review: key assumptions</t>
        </is>
      </c>
      <c r="C64" s="20" t="inlineStr">
        <is>
          <t>size_beta: error probability independent of payment size by default</t>
        </is>
      </c>
      <c r="D64" s="20" t="inlineStr">
        <is>
          <t>Confirm every errors config has size_beta: 0.0 and that the apply-errors SQL multiplies the error probability by (payment / stratum mean)^size_beta, capped at 0.95, with the calibration multiplier computed from the per-unit probabilities; with size_beta = 0 the population data files must match the published manifests.</t>
        </is>
      </c>
      <c r="E64" s="20" t="inlineStr">
        <is>
          <t>*/errors/config.yaml; */errors/sql/*apply_errors*.sql, perm/errors/sql/02_claims_errors.sql; robustness/run.py</t>
        </is>
      </c>
      <c r="F64" s="20" t="inlineStr">
        <is>
          <t>Default 0.0 in all five programs; Part D rescales its count rates at +/-0.25 (robustness/run.py)</t>
        </is>
      </c>
      <c r="G64" s="21" t="inlineStr">
        <is>
          <t>Not started</t>
        </is>
      </c>
      <c r="H64" s="22" t="n"/>
      <c r="I64" s="21" t="n"/>
      <c r="J64" s="21" t="n"/>
      <c r="K64" s="21" t="n"/>
      <c r="L64" s="21" t="n"/>
    </row>
    <row r="65">
      <c r="A65" s="20" t="inlineStr">
        <is>
          <t>C39</t>
        </is>
      </c>
      <c r="B65" s="20" t="inlineStr">
        <is>
          <t>Code review: key assumptions</t>
        </is>
      </c>
      <c r="C65" s="20" t="inlineStr">
        <is>
          <t>Appendix D: calibration and robustness runs</t>
        </is>
      </c>
      <c r="D65" s="20" t="inlineStr">
        <is>
          <t>Confirm robustness/run.py runs 100 audit years (parametric, 500 iterations) on the base populations and 25 audit years at size_beta = +0.5 and -0.5 for every program, and that robustness/summarize.py computes half-width / (1.96 x empirical SD) and coverage per program and method.</t>
        </is>
      </c>
      <c r="E65" s="20" t="inlineStr">
        <is>
          <t>robustness/run.py; robustness/summarize.py; manuscripts/generated/appendix_d.md</t>
        </is>
      </c>
      <c r="F65" s="20" t="inlineStr">
        <is>
          <t>Matches manuscript Section 2.8 and Appendix D</t>
        </is>
      </c>
      <c r="G65" s="21" t="inlineStr">
        <is>
          <t>Not started</t>
        </is>
      </c>
      <c r="H65" s="22" t="n"/>
      <c r="I65" s="21" t="n"/>
      <c r="J65" s="21" t="n"/>
      <c r="K65" s="21" t="n"/>
      <c r="L65" s="21" t="n"/>
    </row>
    <row r="66">
      <c r="A66" s="19" t="inlineStr">
        <is>
          <t>D. Results: represented correctly</t>
        </is>
      </c>
      <c r="B66" s="8" t="n"/>
      <c r="C66" s="8" t="n"/>
      <c r="D66" s="8" t="n"/>
      <c r="E66" s="8" t="n"/>
      <c r="F66" s="8" t="n"/>
      <c r="G66" s="8" t="n"/>
      <c r="H66" s="8" t="n"/>
      <c r="I66" s="8" t="n"/>
      <c r="J66" s="8" t="n"/>
      <c r="K66" s="8" t="n"/>
      <c r="L66" s="8" t="n"/>
    </row>
    <row r="67">
      <c r="A67" s="20" t="inlineStr">
        <is>
          <t>D1</t>
        </is>
      </c>
      <c r="B67" s="20" t="inlineStr">
        <is>
          <t>Results: represented correctly</t>
        </is>
      </c>
      <c r="C67" s="20" t="inlineStr">
        <is>
          <t>Main README: gross improper payments (dollars) table</t>
        </is>
      </c>
      <c r="D67" s="20" t="inlineStr">
        <is>
          <t>For each program and method, compare True / Estimated / Upper / Lower with by_scenario.csv (domain ending in 'gross'; PERM and CERT 'national' rows): true_improper_usd, median_estimate_usd, median_upper_usd, median_lower_usd.</t>
        </is>
      </c>
      <c r="E67" s="20" t="inlineStr">
        <is>
          <t>README.md (Results); shared/results/report/by_scenario.csv</t>
        </is>
      </c>
      <c r="F67" s="20" t="inlineStr">
        <is>
          <t>Every value matches after rounding to $0.01B</t>
        </is>
      </c>
      <c r="G67" s="21" t="inlineStr">
        <is>
          <t>Not started</t>
        </is>
      </c>
      <c r="H67" s="22" t="n"/>
      <c r="I67" s="21" t="n"/>
      <c r="J67" s="21" t="n"/>
      <c r="K67" s="21" t="n"/>
      <c r="L67" s="21" t="n"/>
    </row>
    <row r="68">
      <c r="A68" s="20" t="inlineStr">
        <is>
          <t>D2</t>
        </is>
      </c>
      <c r="B68" s="20" t="inlineStr">
        <is>
          <t>Results: represented correctly</t>
        </is>
      </c>
      <c r="C68" s="20" t="inlineStr">
        <is>
          <t>Main README: gross improper payment rates table</t>
        </is>
      </c>
      <c r="D68" s="20" t="inlineStr">
        <is>
          <t>Same comparison using true_rate, median_estimate, median_upper, median_lower.</t>
        </is>
      </c>
      <c r="E68" s="20" t="inlineStr">
        <is>
          <t>README.md (Results); shared/results/report/by_scenario.csv</t>
        </is>
      </c>
      <c r="F68" s="20" t="inlineStr">
        <is>
          <t>Every value matches after rounding to 0.01%</t>
        </is>
      </c>
      <c r="G68" s="21" t="inlineStr">
        <is>
          <t>Not started</t>
        </is>
      </c>
      <c r="H68" s="22" t="n"/>
      <c r="I68" s="21" t="n"/>
      <c r="J68" s="21" t="n"/>
      <c r="K68" s="21" t="n"/>
      <c r="L68" s="21" t="n"/>
    </row>
    <row r="69">
      <c r="A69" s="20" t="inlineStr">
        <is>
          <t>D3</t>
        </is>
      </c>
      <c r="B69" s="20" t="inlineStr">
        <is>
          <t>Results: represented correctly</t>
        </is>
      </c>
      <c r="C69" s="20" t="inlineStr">
        <is>
          <t>Main README: Findings and recommendations numbers</t>
        </is>
      </c>
      <c r="D69" s="20" t="inlineStr">
        <is>
          <t>Check 121/125 (96.8%), 111/125, 108/125, 30/125, 11-21% narrower, 63%, 1.5-6.6% and 16.6% MAE, 19-20 of 25, 15 of 25, and 20-38% smaller audits against the tables.</t>
        </is>
      </c>
      <c r="E69" s="20" t="inlineStr">
        <is>
          <t>README.md (Findings); manuscripts/generated/tables.md; results_long.csv</t>
        </is>
      </c>
      <c r="F69" s="20" t="inlineStr">
        <is>
          <t>Every number traceable to a table</t>
        </is>
      </c>
      <c r="G69" s="21" t="inlineStr">
        <is>
          <t>Not started</t>
        </is>
      </c>
      <c r="H69" s="22" t="n"/>
      <c r="I69" s="21" t="n"/>
      <c r="J69" s="21" t="n"/>
      <c r="K69" s="21" t="n"/>
      <c r="L69" s="21" t="n"/>
    </row>
    <row r="70">
      <c r="A70" s="20" t="inlineStr">
        <is>
          <t>D4</t>
        </is>
      </c>
      <c r="B70" s="20" t="inlineStr">
        <is>
          <t>Results: represented correctly</t>
        </is>
      </c>
      <c r="C70" s="20" t="inlineStr">
        <is>
          <t>Program READMEs: results tables</t>
        </is>
      </c>
      <c r="D70" s="20" t="inlineStr">
        <is>
          <t>For each program README, compare the Dollars, Rates and coverage tables with by_scenario.csv.</t>
        </is>
      </c>
      <c r="E70" s="20" t="inlineStr">
        <is>
          <t>part-c-ipm, part-d-ipm, eipm, perm, cert README.md; by_scenario.csv</t>
        </is>
      </c>
      <c r="F70" s="20" t="inlineStr">
        <is>
          <t>All values match</t>
        </is>
      </c>
      <c r="G70" s="21" t="inlineStr">
        <is>
          <t>Not started</t>
        </is>
      </c>
      <c r="H70" s="22" t="n"/>
      <c r="I70" s="21" t="n"/>
      <c r="J70" s="21" t="n"/>
      <c r="K70" s="21" t="n"/>
      <c r="L70" s="21" t="n"/>
    </row>
    <row r="71">
      <c r="A71" s="20" t="inlineStr">
        <is>
          <t>D5</t>
        </is>
      </c>
      <c r="B71" s="20" t="inlineStr">
        <is>
          <t>Results: represented correctly</t>
        </is>
      </c>
      <c r="C71" s="20" t="inlineStr">
        <is>
          <t>Manuscript tables match the generated tables</t>
        </is>
      </c>
      <c r="D71" s="20" t="inlineStr">
        <is>
          <t>Compare Tables 2, 3, 4, 5 and C1 in manuscript.pdf with tables.md.</t>
        </is>
      </c>
      <c r="E71" s="20" t="inlineStr">
        <is>
          <t>manuscripts/manuscript.pdf; manuscripts/generated/tables.md</t>
        </is>
      </c>
      <c r="F71" s="20" t="inlineStr">
        <is>
          <t>Identical</t>
        </is>
      </c>
      <c r="G71" s="21" t="inlineStr">
        <is>
          <t>Not started</t>
        </is>
      </c>
      <c r="H71" s="22" t="n"/>
      <c r="I71" s="21" t="n"/>
      <c r="J71" s="21" t="n"/>
      <c r="K71" s="21" t="n"/>
      <c r="L71" s="21" t="n"/>
    </row>
    <row r="72">
      <c r="A72" s="20" t="inlineStr">
        <is>
          <t>D6</t>
        </is>
      </c>
      <c r="B72" s="20" t="inlineStr">
        <is>
          <t>Results: represented correctly</t>
        </is>
      </c>
      <c r="C72" s="20" t="inlineStr">
        <is>
          <t>Manuscript text numbers match the tables</t>
        </is>
      </c>
      <c r="D72" s="20" t="inlineStr">
        <is>
          <t>Check every number in the abstract, Results (Section 3) and Discussion (Section 4) against Tables 2-5 and Appendix D.</t>
        </is>
      </c>
      <c r="E72" s="20" t="inlineStr">
        <is>
          <t>manuscripts/sections/*.md; manuscripts/generated/tables.md</t>
        </is>
      </c>
      <c r="F72" s="20" t="inlineStr">
        <is>
          <t>Every number traceable; none contradicts a table</t>
        </is>
      </c>
      <c r="G72" s="21" t="inlineStr">
        <is>
          <t>Not started</t>
        </is>
      </c>
      <c r="H72" s="22" t="n"/>
      <c r="I72" s="21" t="n"/>
      <c r="J72" s="21" t="n"/>
      <c r="K72" s="21" t="n"/>
      <c r="L72" s="21" t="n"/>
    </row>
    <row r="73">
      <c r="A73" s="20" t="inlineStr">
        <is>
          <t>D7</t>
        </is>
      </c>
      <c r="B73" s="20" t="inlineStr">
        <is>
          <t>Results: represented correctly</t>
        </is>
      </c>
      <c r="C73" s="20" t="inlineStr">
        <is>
          <t>Manuscript Table 1 (populations) matches the configs and truth files</t>
        </is>
      </c>
      <c r="D73" s="20" t="inlineStr">
        <is>
          <t>Compare unit counts, audit sizes and true gross rates with the configs and truth.json.</t>
        </is>
      </c>
      <c r="E73" s="20" t="inlineStr">
        <is>
          <t>manuscripts/sections/01_background_methods.md; */errors/output*/*/truth.json</t>
        </is>
      </c>
      <c r="F73" s="20" t="inlineStr">
        <is>
          <t>All match</t>
        </is>
      </c>
      <c r="G73" s="21" t="inlineStr">
        <is>
          <t>Not started</t>
        </is>
      </c>
      <c r="H73" s="22" t="n"/>
      <c r="I73" s="21" t="n"/>
      <c r="J73" s="21" t="n"/>
      <c r="K73" s="21" t="n"/>
      <c r="L73" s="21" t="n"/>
    </row>
    <row r="74">
      <c r="A74" s="20" t="inlineStr">
        <is>
          <t>D8</t>
        </is>
      </c>
      <c r="B74" s="20" t="inlineStr">
        <is>
          <t>Results: represented correctly</t>
        </is>
      </c>
      <c r="C74" s="20" t="inlineStr">
        <is>
          <t>Figures 1 and 2 show the values in results_long.csv</t>
        </is>
      </c>
      <c r="D74" s="20" t="inlineStr">
        <is>
          <t>Spot-check at least 3 bars in each figure against results_long.csv.</t>
        </is>
      </c>
      <c r="E74" s="20" t="inlineStr">
        <is>
          <t>manuscripts/generated/fig1_width.png, fig2_coverage.png; results_long.csv</t>
        </is>
      </c>
      <c r="F74" s="20" t="inlineStr">
        <is>
          <t>Bars match the table values</t>
        </is>
      </c>
      <c r="G74" s="21" t="inlineStr">
        <is>
          <t>Not started</t>
        </is>
      </c>
      <c r="H74" s="22" t="n"/>
      <c r="I74" s="21" t="n"/>
      <c r="J74" s="21" t="n"/>
      <c r="K74" s="21" t="n"/>
      <c r="L74" s="21" t="n"/>
    </row>
    <row r="75">
      <c r="A75" s="20" t="inlineStr">
        <is>
          <t>D9</t>
        </is>
      </c>
      <c r="B75" s="20" t="inlineStr">
        <is>
          <t>Results: represented correctly</t>
        </is>
      </c>
      <c r="C75" s="20" t="inlineStr">
        <is>
          <t>One-pager and conference abstract numbers</t>
        </is>
      </c>
      <c r="D75" s="20" t="inlineStr">
        <is>
          <t>Check every number against the manuscript tables; confirm the abstract is 500 words or fewer.</t>
        </is>
      </c>
      <c r="E75" s="20" t="inlineStr">
        <is>
          <t>manuscripts/one-pager.md; manuscripts/conference-abstract.md</t>
        </is>
      </c>
      <c r="F75" s="20" t="inlineStr">
        <is>
          <t>All match</t>
        </is>
      </c>
      <c r="G75" s="21" t="inlineStr">
        <is>
          <t>Not started</t>
        </is>
      </c>
      <c r="H75" s="22" t="n"/>
      <c r="I75" s="21" t="n"/>
      <c r="J75" s="21" t="n"/>
      <c r="K75" s="21" t="n"/>
      <c r="L75" s="21" t="n"/>
    </row>
    <row r="76">
      <c r="A76" s="20" t="inlineStr">
        <is>
          <t>D10</t>
        </is>
      </c>
      <c r="B76" s="20" t="inlineStr">
        <is>
          <t>Results: represented correctly</t>
        </is>
      </c>
      <c r="C76" s="20" t="inlineStr">
        <is>
          <t>Calibration targets match public sources</t>
        </is>
      </c>
      <c r="D76" s="20" t="inlineStr">
        <is>
          <t>Check the FY 2025 public figures used as targets (Part C 6.09%, $21.43B/$2.23B; Medicaid 6.12%; EIPM 0.89% with 0.43 technical; CERT 6.55% and claim-type figures; Part D 4.00%) against the cited CMS sources.</t>
        </is>
      </c>
      <c r="E76" s="20" t="inlineStr">
        <is>
          <t>manuscript Section 2.2 and Appendix B; literature review Section 3 links</t>
        </is>
      </c>
      <c r="F76" s="20" t="inlineStr">
        <is>
          <t>Each target matches its public source</t>
        </is>
      </c>
      <c r="G76" s="21" t="inlineStr">
        <is>
          <t>Not started</t>
        </is>
      </c>
      <c r="H76" s="22" t="n"/>
      <c r="I76" s="21" t="n"/>
      <c r="J76" s="21" t="n"/>
      <c r="K76" s="21" t="n"/>
      <c r="L76" s="21" t="n"/>
    </row>
    <row r="77">
      <c r="A77" s="20" t="inlineStr">
        <is>
          <t>D11</t>
        </is>
      </c>
      <c r="B77" s="20" t="inlineStr">
        <is>
          <t>Results: represented correctly</t>
        </is>
      </c>
      <c r="C77" s="20" t="inlineStr">
        <is>
          <t>True values in the tables equal the truth files</t>
        </is>
      </c>
      <c r="D77" s="20" t="inlineStr">
        <is>
          <t>Confirm true_rate in by_scenario.csv equals theta in each estimation truth.json and the populations' truth.json.</t>
        </is>
      </c>
      <c r="E77" s="20" t="inlineStr">
        <is>
          <t>by_scenario.csv; */estimation/results/*/truth.json; */errors/output*/*/truth.json</t>
        </is>
      </c>
      <c r="F77" s="20" t="inlineStr">
        <is>
          <t>Identical</t>
        </is>
      </c>
      <c r="G77" s="21" t="inlineStr">
        <is>
          <t>Not started</t>
        </is>
      </c>
      <c r="H77" s="22" t="n"/>
      <c r="I77" s="21" t="n"/>
      <c r="J77" s="21" t="n"/>
      <c r="K77" s="21" t="n"/>
      <c r="L77" s="21" t="n"/>
    </row>
    <row r="78">
      <c r="A78" s="20" t="inlineStr">
        <is>
          <t>D12</t>
        </is>
      </c>
      <c r="B78" s="20" t="inlineStr">
        <is>
          <t>Results: represented correctly</t>
        </is>
      </c>
      <c r="C78" s="20" t="inlineStr">
        <is>
          <t>Hand-check one median and one coverage count</t>
        </is>
      </c>
      <c r="D78" s="20" t="inlineStr">
        <is>
          <t>Open by_audit_year.csv (or .parquet). Filter Part C, national|gross, simulation. Compute the median of the 25 estimates and count truth_in_ci = 'inside'.</t>
        </is>
      </c>
      <c r="E78" s="20" t="inlineStr">
        <is>
          <t>shared/results/report/by_audit_year.csv</t>
        </is>
      </c>
      <c r="F78" s="20" t="inlineStr">
        <is>
          <t>Median equals median_estimate; count equals n_truth_inside (24)</t>
        </is>
      </c>
      <c r="G78" s="21" t="inlineStr">
        <is>
          <t>Not started</t>
        </is>
      </c>
      <c r="H78" s="22" t="n"/>
      <c r="I78" s="21" t="n"/>
      <c r="J78" s="21" t="n"/>
      <c r="K78" s="21" t="n"/>
      <c r="L78" s="21" t="n"/>
    </row>
    <row r="79">
      <c r="A79" s="20" t="inlineStr">
        <is>
          <t>D13</t>
        </is>
      </c>
      <c r="B79" s="20" t="inlineStr">
        <is>
          <t>Results: represented correctly</t>
        </is>
      </c>
      <c r="C79" s="20" t="inlineStr">
        <is>
          <t>Part D pre-IRA reference is stated as reference only</t>
        </is>
      </c>
      <c r="D79" s="20" t="inlineStr">
        <is>
          <t>Confirm pre-ira-reference.md says it is not part of the reported results and that README tables use post-IRA results.</t>
        </is>
      </c>
      <c r="E79" s="20" t="inlineStr">
        <is>
          <t>part-d-ipm/pre-ira-reference.md; README.md</t>
        </is>
      </c>
      <c r="F79" s="20" t="inlineStr">
        <is>
          <t>Clearly labeled as a robustness reference</t>
        </is>
      </c>
      <c r="G79" s="21" t="inlineStr">
        <is>
          <t>Not started</t>
        </is>
      </c>
      <c r="H79" s="22" t="n"/>
      <c r="I79" s="21" t="n"/>
      <c r="J79" s="21" t="n"/>
      <c r="K79" s="21" t="n"/>
      <c r="L79" s="21" t="n"/>
    </row>
    <row r="80">
      <c r="A80" s="20" t="inlineStr">
        <is>
          <t>D14</t>
        </is>
      </c>
      <c r="B80" s="20" t="inlineStr">
        <is>
          <t>Results: represented correctly</t>
        </is>
      </c>
      <c r="C80" s="20" t="inlineStr">
        <is>
          <t>Conclusions are supported by the results</t>
        </is>
      </c>
      <c r="D80" s="20" t="inlineStr">
        <is>
          <t>Read the Conclusions and Recommendations. Confirm each claim (validity, accuracy, precision, audit-size reduction 'pending confirmation') is supported and its limits are stated.</t>
        </is>
      </c>
      <c r="E80" s="20" t="inlineStr">
        <is>
          <t>README.md; manuscript Section 4</t>
        </is>
      </c>
      <c r="F80" s="20" t="inlineStr">
        <is>
          <t>No claim goes beyond the evidence</t>
        </is>
      </c>
      <c r="G80" s="21" t="inlineStr">
        <is>
          <t>Not started</t>
        </is>
      </c>
      <c r="H80" s="22" t="n"/>
      <c r="I80" s="21" t="n"/>
      <c r="J80" s="21" t="n"/>
      <c r="K80" s="21" t="n"/>
      <c r="L80" s="21" t="n"/>
    </row>
    <row r="81">
      <c r="A81" s="20" t="inlineStr">
        <is>
          <t>D15</t>
        </is>
      </c>
      <c r="B81" s="20" t="inlineStr">
        <is>
          <t>Results: represented correctly</t>
        </is>
      </c>
      <c r="C81" s="20" t="inlineStr">
        <is>
          <t>Limitations are complete</t>
        </is>
      </c>
      <c r="D81" s="20" t="inlineStr">
        <is>
          <t>Confirm the limitations cover 25 audit years (Monte Carlo SE about 4.4 points), synthetic populations, the independence of errors from payment size within strata (tested in Appendix D), perfect review, Part D design differences, fixed error sizes and independently redrawn rates, and one-sided recovery bounds untested.</t>
        </is>
      </c>
      <c r="E81" s="20" t="inlineStr">
        <is>
          <t>manuscript Section 4.4</t>
        </is>
      </c>
      <c r="F81" s="20" t="inlineStr">
        <is>
          <t>All present</t>
        </is>
      </c>
      <c r="G81" s="21" t="inlineStr">
        <is>
          <t>Not started</t>
        </is>
      </c>
      <c r="H81" s="22" t="n"/>
      <c r="I81" s="21" t="n"/>
      <c r="J81" s="21" t="n"/>
      <c r="K81" s="21" t="n"/>
      <c r="L81" s="21" t="n"/>
    </row>
    <row r="82">
      <c r="A82" s="19" t="inlineStr">
        <is>
          <t>E. Tests and independent checks</t>
        </is>
      </c>
      <c r="B82" s="8" t="n"/>
      <c r="C82" s="8" t="n"/>
      <c r="D82" s="8" t="n"/>
      <c r="E82" s="8" t="n"/>
      <c r="F82" s="8" t="n"/>
      <c r="G82" s="8" t="n"/>
      <c r="H82" s="8" t="n"/>
      <c r="I82" s="8" t="n"/>
      <c r="J82" s="8" t="n"/>
      <c r="K82" s="8" t="n"/>
      <c r="L82" s="8" t="n"/>
    </row>
    <row r="83">
      <c r="A83" s="20" t="inlineStr">
        <is>
          <t>E1</t>
        </is>
      </c>
      <c r="B83" s="20" t="inlineStr">
        <is>
          <t>Tests and independent checks</t>
        </is>
      </c>
      <c r="C83" s="20" t="inlineStr">
        <is>
          <t>Automated tests pass on your computer</t>
        </is>
      </c>
      <c r="D83" s="20" t="inlineStr">
        <is>
          <t>Run  .venv/bin/python -m pytest -q shared/tests  (also run in stage 7).</t>
        </is>
      </c>
      <c r="E83" s="20" t="inlineStr">
        <is>
          <t>shared/tests/</t>
        </is>
      </c>
      <c r="F83" s="20" t="inlineStr">
        <is>
          <t>All passed</t>
        </is>
      </c>
      <c r="G83" s="21" t="inlineStr">
        <is>
          <t>Not started</t>
        </is>
      </c>
      <c r="H83" s="22" t="n"/>
      <c r="I83" s="21" t="n"/>
      <c r="J83" s="21" t="n"/>
      <c r="K83" s="21" t="n"/>
      <c r="L83" s="21" t="n"/>
    </row>
    <row r="84">
      <c r="A84" s="20" t="inlineStr">
        <is>
          <t>E2</t>
        </is>
      </c>
      <c r="B84" s="20" t="inlineStr">
        <is>
          <t>Tests and independent checks</t>
        </is>
      </c>
      <c r="C84" s="20" t="inlineStr">
        <is>
          <t>Results do not depend on the number of processor threads</t>
        </is>
      </c>
      <c r="D84" s="20" t="inlineStr">
        <is>
          <t>Run  .venv/bin/python -m ipsim eipm/estimation/config.yaml --out qa/tmp_threads1 --threads 1 . Compare qa/tmp_threads1/base/manifest.json with eipm/estimation/results/base/manifest.json (estimates.parquet sha256). Then delete qa/tmp_threads1.</t>
        </is>
      </c>
      <c r="E84" s="20" t="inlineStr">
        <is>
          <t>eipm/estimation/results/base/manifest.json</t>
        </is>
      </c>
      <c r="F84" s="20" t="inlineStr">
        <is>
          <t>Identical sha256 fingerprints</t>
        </is>
      </c>
      <c r="G84" s="21" t="inlineStr">
        <is>
          <t>Not started</t>
        </is>
      </c>
      <c r="H84" s="22" t="n"/>
      <c r="I84" s="21" t="n"/>
      <c r="J84" s="21" t="n"/>
      <c r="K84" s="21" t="n"/>
      <c r="L84" s="21" t="n"/>
    </row>
    <row r="85">
      <c r="A85" s="20" t="inlineStr">
        <is>
          <t>E3</t>
        </is>
      </c>
      <c r="B85" s="20" t="inlineStr">
        <is>
          <t>Tests and independent checks</t>
        </is>
      </c>
      <c r="C85" s="20" t="inlineStr">
        <is>
          <t>Census check: auditing every unit returns the true rate</t>
        </is>
      </c>
      <c r="D85" s="20" t="inlineStr">
        <is>
          <t>Confirm the test exists and passed.</t>
        </is>
      </c>
      <c r="E85" s="20" t="inlineStr">
        <is>
          <t>shared/tests/test_simulation.py</t>
        </is>
      </c>
      <c r="F85" s="20" t="inlineStr">
        <is>
          <t>Test present and passing</t>
        </is>
      </c>
      <c r="G85" s="21" t="inlineStr">
        <is>
          <t>Not started</t>
        </is>
      </c>
      <c r="H85" s="22" t="n"/>
      <c r="I85" s="21" t="n"/>
      <c r="J85" s="21" t="n"/>
      <c r="K85" s="21" t="n"/>
      <c r="L85" s="21" t="n"/>
    </row>
    <row r="86">
      <c r="A86" s="20" t="inlineStr">
        <is>
          <t>E4</t>
        </is>
      </c>
      <c r="B86" s="20" t="inlineStr">
        <is>
          <t>Tests and independent checks</t>
        </is>
      </c>
      <c r="C86" s="20" t="inlineStr">
        <is>
          <t>Estimators match an independent implementation</t>
        </is>
      </c>
      <c r="D86" s="20" t="inlineStr">
        <is>
          <t>Confirm the SQL estimators are tested against a separate numpy implementation.</t>
        </is>
      </c>
      <c r="E86" s="20" t="inlineStr">
        <is>
          <t>shared/tests/test_estimators.py</t>
        </is>
      </c>
      <c r="F86" s="20" t="inlineStr">
        <is>
          <t>Test present and passing</t>
        </is>
      </c>
      <c r="G86" s="21" t="inlineStr">
        <is>
          <t>Not started</t>
        </is>
      </c>
      <c r="H86" s="22" t="n"/>
      <c r="I86" s="21" t="n"/>
      <c r="J86" s="21" t="n"/>
      <c r="K86" s="21" t="n"/>
      <c r="L86" s="21" t="n"/>
    </row>
    <row r="87">
      <c r="A87" s="20" t="inlineStr">
        <is>
          <t>E5</t>
        </is>
      </c>
      <c r="B87" s="20" t="inlineStr">
        <is>
          <t>Tests and independent checks</t>
        </is>
      </c>
      <c r="C87" s="20" t="inlineStr">
        <is>
          <t>Spot-check one analytic estimate by hand</t>
        </is>
      </c>
      <c r="D87" s="20" t="inlineStr">
        <is>
          <t>In by_audit_year.csv, pick EIPM national|gross, ratio, audit year 1. Confirm lower = estimate - 1.96 x se is consistent with the reported interval (se in estimates.parquet).</t>
        </is>
      </c>
      <c r="E87" s="20" t="inlineStr">
        <is>
          <t>eipm/estimation/results/base/estimates.parquet; by_audit_year.csv</t>
        </is>
      </c>
      <c r="F87" s="20" t="inlineStr">
        <is>
          <t>Consistent to rounding</t>
        </is>
      </c>
      <c r="G87" s="21" t="inlineStr">
        <is>
          <t>Not started</t>
        </is>
      </c>
      <c r="H87" s="22" t="n"/>
      <c r="I87" s="21" t="n"/>
      <c r="J87" s="21" t="n"/>
      <c r="K87" s="21" t="n"/>
      <c r="L87" s="21" t="n"/>
    </row>
    <row r="88">
      <c r="A88" s="19" t="inlineStr">
        <is>
          <t>F. Data security and disclosure</t>
        </is>
      </c>
      <c r="B88" s="8" t="n"/>
      <c r="C88" s="8" t="n"/>
      <c r="D88" s="8" t="n"/>
      <c r="E88" s="8" t="n"/>
      <c r="F88" s="8" t="n"/>
      <c r="G88" s="8" t="n"/>
      <c r="H88" s="8" t="n"/>
      <c r="I88" s="8" t="n"/>
      <c r="J88" s="8" t="n"/>
      <c r="K88" s="8" t="n"/>
      <c r="L88" s="8" t="n"/>
    </row>
    <row r="89">
      <c r="A89" s="20" t="inlineStr">
        <is>
          <t>F1</t>
        </is>
      </c>
      <c r="B89" s="20" t="inlineStr">
        <is>
          <t>Data security and disclosure</t>
        </is>
      </c>
      <c r="C89" s="20" t="inlineStr">
        <is>
          <t>No protected health information or real unit-level data</t>
        </is>
      </c>
      <c r="D89" s="20" t="inlineStr">
        <is>
          <t>Confirm every population is generated from stated distributions (errors/sql) and no data files are read from outside the project.</t>
        </is>
      </c>
      <c r="E89" s="20" t="inlineStr">
        <is>
          <t>*/errors/sql/*.sql; .gitignore (data/raw/ excluded)</t>
        </is>
      </c>
      <c r="F89" s="20" t="inlineStr">
        <is>
          <t>Only synthetic data</t>
        </is>
      </c>
      <c r="G89" s="21" t="inlineStr">
        <is>
          <t>Not started</t>
        </is>
      </c>
      <c r="H89" s="22" t="n"/>
      <c r="I89" s="21" t="n"/>
      <c r="J89" s="21" t="n"/>
      <c r="K89" s="21" t="n"/>
      <c r="L89" s="21" t="n"/>
    </row>
    <row r="90">
      <c r="A90" s="20" t="inlineStr">
        <is>
          <t>F2</t>
        </is>
      </c>
      <c r="B90" s="20" t="inlineStr">
        <is>
          <t>Data security and disclosure</t>
        </is>
      </c>
      <c r="C90" s="20" t="inlineStr">
        <is>
          <t>No non-public material</t>
        </is>
      </c>
      <c r="D90" s="20" t="inlineStr">
        <is>
          <t>Confirm there are no contractor methodology plans, internal error data, or non-public CMS documents; non-public design values are labeled illustrative.</t>
        </is>
      </c>
      <c r="E90" s="20" t="inlineStr">
        <is>
          <t>configs (comments 'illustrative', 'NOT public'); literature-review references</t>
        </is>
      </c>
      <c r="F90" s="20" t="inlineStr">
        <is>
          <t>Public sources only; illustrative values labeled</t>
        </is>
      </c>
      <c r="G90" s="21" t="inlineStr">
        <is>
          <t>Not started</t>
        </is>
      </c>
      <c r="H90" s="22" t="n"/>
      <c r="I90" s="21" t="n"/>
      <c r="J90" s="21" t="n"/>
      <c r="K90" s="21" t="n"/>
      <c r="L90" s="21" t="n"/>
    </row>
    <row r="91">
      <c r="A91" s="20" t="inlineStr">
        <is>
          <t>F3</t>
        </is>
      </c>
      <c r="B91" s="20" t="inlineStr">
        <is>
          <t>Data security and disclosure</t>
        </is>
      </c>
      <c r="C91" s="20" t="inlineStr">
        <is>
          <t>Sources for public figures are cited</t>
        </is>
      </c>
      <c r="D91" s="20" t="inlineStr">
        <is>
          <t>Confirm each public figure used for calibration is cited with a source.</t>
        </is>
      </c>
      <c r="E91" s="20" t="inlineStr">
        <is>
          <t>manuscript References; literature review References</t>
        </is>
      </c>
      <c r="F91" s="20" t="inlineStr">
        <is>
          <t>Every figure has a source</t>
        </is>
      </c>
      <c r="G91" s="21" t="inlineStr">
        <is>
          <t>Not started</t>
        </is>
      </c>
      <c r="H91" s="22" t="n"/>
      <c r="I91" s="21" t="n"/>
      <c r="J91" s="21" t="n"/>
      <c r="K91" s="21" t="n"/>
      <c r="L91" s="21" t="n"/>
    </row>
    <row r="92">
      <c r="A92" s="20" t="inlineStr">
        <is>
          <t>F4</t>
        </is>
      </c>
      <c r="B92" s="20" t="inlineStr">
        <is>
          <t>Data security and disclosure</t>
        </is>
      </c>
      <c r="C92" s="20" t="inlineStr">
        <is>
          <t>Author disclosures and approvals</t>
        </is>
      </c>
      <c r="D92" s="20" t="inlineStr">
        <is>
          <t>Confirm the funding, conflicts of interest and disclaimer section is completed, and any employer or agency clearance needed before publication has been obtained.</t>
        </is>
      </c>
      <c r="E92" s="20" t="inlineStr">
        <is>
          <t>manuscripts/sections/03_future_conclusion_refs.md</t>
        </is>
      </c>
      <c r="F92" s="20" t="inlineStr">
        <is>
          <t>Completed before submission (or noted as open)</t>
        </is>
      </c>
      <c r="G92" s="21" t="inlineStr">
        <is>
          <t>Not started</t>
        </is>
      </c>
      <c r="H92" s="22" t="n"/>
      <c r="I92" s="21" t="n"/>
      <c r="J92" s="21" t="n"/>
      <c r="K92" s="21" t="n"/>
      <c r="L92" s="21" t="n"/>
    </row>
    <row r="93">
      <c r="A93" s="20" t="inlineStr">
        <is>
          <t>F5</t>
        </is>
      </c>
      <c r="B93" s="20" t="inlineStr">
        <is>
          <t>Data security and disclosure</t>
        </is>
      </c>
      <c r="C93" s="20" t="inlineStr">
        <is>
          <t>License and repository contents</t>
        </is>
      </c>
      <c r="D93" s="20" t="inlineStr">
        <is>
          <t>Confirm a LICENSE file is present and the repository contains no credentials, personal data or large unexplained files.</t>
        </is>
      </c>
      <c r="E93" s="20" t="inlineStr">
        <is>
          <t>LICENSE; repository root</t>
        </is>
      </c>
      <c r="F93" s="20" t="inlineStr">
        <is>
          <t>As expected</t>
        </is>
      </c>
      <c r="G93" s="21" t="inlineStr">
        <is>
          <t>Not started</t>
        </is>
      </c>
      <c r="H93" s="22" t="n"/>
      <c r="I93" s="21" t="n"/>
      <c r="J93" s="21" t="n"/>
      <c r="K93" s="21" t="n"/>
      <c r="L93" s="21" t="n"/>
    </row>
    <row r="94">
      <c r="A94" s="19" t="inlineStr">
        <is>
          <t>G. Documentation and reproducibility</t>
        </is>
      </c>
      <c r="B94" s="8" t="n"/>
      <c r="C94" s="8" t="n"/>
      <c r="D94" s="8" t="n"/>
      <c r="E94" s="8" t="n"/>
      <c r="F94" s="8" t="n"/>
      <c r="G94" s="8" t="n"/>
      <c r="H94" s="8" t="n"/>
      <c r="I94" s="8" t="n"/>
      <c r="J94" s="8" t="n"/>
      <c r="K94" s="8" t="n"/>
      <c r="L94" s="8" t="n"/>
    </row>
    <row r="95">
      <c r="A95" s="20" t="inlineStr">
        <is>
          <t>G1</t>
        </is>
      </c>
      <c r="B95" s="20" t="inlineStr">
        <is>
          <t>Documentation and reproducibility</t>
        </is>
      </c>
      <c r="C95" s="20" t="inlineStr">
        <is>
          <t>Start Here instructions worked as written</t>
        </is>
      </c>
      <c r="D95" s="20" t="inlineStr">
        <is>
          <t>Record any step that failed, was unclear, or needed a change on your operating system.</t>
        </is>
      </c>
      <c r="E95" s="20" t="inlineStr">
        <is>
          <t>start-here/README.md</t>
        </is>
      </c>
      <c r="F95" s="20" t="inlineStr">
        <is>
          <t>No changes needed, or each recorded on the Issues log</t>
        </is>
      </c>
      <c r="G95" s="21" t="inlineStr">
        <is>
          <t>Not started</t>
        </is>
      </c>
      <c r="H95" s="22" t="n"/>
      <c r="I95" s="21" t="n"/>
      <c r="J95" s="21" t="n"/>
      <c r="K95" s="21" t="n"/>
      <c r="L95" s="21" t="n"/>
    </row>
    <row r="96">
      <c r="A96" s="20" t="inlineStr">
        <is>
          <t>G2</t>
        </is>
      </c>
      <c r="B96" s="20" t="inlineStr">
        <is>
          <t>Documentation and reproducibility</t>
        </is>
      </c>
      <c r="C96" s="20" t="inlineStr">
        <is>
          <t>Run times are close to the published estimates</t>
        </is>
      </c>
      <c r="D96" s="20" t="inlineStr">
        <is>
          <t>Compare your stage times (Run log sheet) with start-here/README.md step 7.</t>
        </is>
      </c>
      <c r="E96" s="20" t="inlineStr">
        <is>
          <t>start-here/README.md; Run log sheet</t>
        </is>
      </c>
      <c r="F96" s="20" t="inlineStr">
        <is>
          <t>Recorded; large differences explained</t>
        </is>
      </c>
      <c r="G96" s="21" t="inlineStr">
        <is>
          <t>Not started</t>
        </is>
      </c>
      <c r="H96" s="22" t="n"/>
      <c r="I96" s="21" t="n"/>
      <c r="J96" s="21" t="n"/>
      <c r="K96" s="21" t="n"/>
      <c r="L96" s="21" t="n"/>
    </row>
    <row r="97">
      <c r="A97" s="20" t="inlineStr">
        <is>
          <t>G3</t>
        </is>
      </c>
      <c r="B97" s="20" t="inlineStr">
        <is>
          <t>Documentation and reproducibility</t>
        </is>
      </c>
      <c r="C97" s="20" t="inlineStr">
        <is>
          <t>Every result traces to code and data in the repository</t>
        </is>
      </c>
      <c r="D97" s="20" t="inlineStr">
        <is>
          <t>Pick 3 numbers from the manuscript and follow each back to the file and code that produced it.</t>
        </is>
      </c>
      <c r="E97" s="20" t="inlineStr">
        <is>
          <t>manuscripts; shared/results; */estimation</t>
        </is>
      </c>
      <c r="F97" s="20" t="inlineStr">
        <is>
          <t>Each traced without gaps</t>
        </is>
      </c>
      <c r="G97" s="21" t="inlineStr">
        <is>
          <t>Not started</t>
        </is>
      </c>
      <c r="H97" s="22" t="n"/>
      <c r="I97" s="21" t="n"/>
      <c r="J97" s="21" t="n"/>
      <c r="K97" s="21" t="n"/>
      <c r="L97" s="21" t="n"/>
    </row>
    <row r="98">
      <c r="A98" s="20" t="inlineStr">
        <is>
          <t>G4</t>
        </is>
      </c>
      <c r="B98" s="20" t="inlineStr">
        <is>
          <t>Documentation and reproducibility</t>
        </is>
      </c>
      <c r="C98" s="20" t="inlineStr">
        <is>
          <t>Data dictionary describes the output files</t>
        </is>
      </c>
      <c r="D98" s="20" t="inlineStr">
        <is>
          <t>Spot-check 5 columns in estimates.parquet and by_scenario.csv against the data dictionary.</t>
        </is>
      </c>
      <c r="E98" s="20" t="inlineStr">
        <is>
          <t>shared/data_dictionary.md</t>
        </is>
      </c>
      <c r="F98" s="20" t="inlineStr">
        <is>
          <t>Definitions match</t>
        </is>
      </c>
      <c r="G98" s="21" t="inlineStr">
        <is>
          <t>Not started</t>
        </is>
      </c>
      <c r="H98" s="22" t="n"/>
      <c r="I98" s="21" t="n"/>
      <c r="J98" s="21" t="n"/>
      <c r="K98" s="21" t="n"/>
      <c r="L98" s="21" t="n"/>
    </row>
    <row r="99">
      <c r="A99" s="19" t="inlineStr">
        <is>
          <t>H. Close-out and sign-off</t>
        </is>
      </c>
      <c r="B99" s="8" t="n"/>
      <c r="C99" s="8" t="n"/>
      <c r="D99" s="8" t="n"/>
      <c r="E99" s="8" t="n"/>
      <c r="F99" s="8" t="n"/>
      <c r="G99" s="8" t="n"/>
      <c r="H99" s="8" t="n"/>
      <c r="I99" s="8" t="n"/>
      <c r="J99" s="8" t="n"/>
      <c r="K99" s="8" t="n"/>
      <c r="L99" s="8" t="n"/>
    </row>
    <row r="100">
      <c r="A100" s="20" t="inlineStr">
        <is>
          <t>H1</t>
        </is>
      </c>
      <c r="B100" s="20" t="inlineStr">
        <is>
          <t>Close-out and sign-off</t>
        </is>
      </c>
      <c r="C100" s="20" t="inlineStr">
        <is>
          <t>Every Fail is on the Issues log</t>
        </is>
      </c>
      <c r="D100" s="20" t="inlineStr">
        <is>
          <t>Check that each row marked Fail has an issue ID in the Issue ID column.</t>
        </is>
      </c>
      <c r="E100" s="20" t="inlineStr">
        <is>
          <t>Checklist; Issues log</t>
        </is>
      </c>
      <c r="F100" s="20" t="inlineStr">
        <is>
          <t>Yes</t>
        </is>
      </c>
      <c r="G100" s="21" t="inlineStr">
        <is>
          <t>Not started</t>
        </is>
      </c>
      <c r="H100" s="22" t="n"/>
      <c r="I100" s="21" t="n"/>
      <c r="J100" s="21" t="n"/>
      <c r="K100" s="21" t="n"/>
      <c r="L100" s="21" t="n"/>
    </row>
    <row r="101">
      <c r="A101" s="20" t="inlineStr">
        <is>
          <t>H2</t>
        </is>
      </c>
      <c r="B101" s="20" t="inlineStr">
        <is>
          <t>Close-out and sign-off</t>
        </is>
      </c>
      <c r="C101" s="20" t="inlineStr">
        <is>
          <t>Issues are resolved or accepted</t>
        </is>
      </c>
      <c r="D101" s="20" t="inlineStr">
        <is>
          <t>Confirm no Critical or Major issue is Open. Minor issues may remain open if noted on the sign-off form.</t>
        </is>
      </c>
      <c r="E101" s="20" t="inlineStr">
        <is>
          <t>Issues log; Summary sheet</t>
        </is>
      </c>
      <c r="F101" s="20" t="inlineStr">
        <is>
          <t>No open Critical or Major issues</t>
        </is>
      </c>
      <c r="G101" s="21" t="inlineStr">
        <is>
          <t>Not started</t>
        </is>
      </c>
      <c r="H101" s="22" t="n"/>
      <c r="I101" s="21" t="n"/>
      <c r="J101" s="21" t="n"/>
      <c r="K101" s="21" t="n"/>
      <c r="L101" s="21" t="n"/>
    </row>
    <row r="102">
      <c r="A102" s="20" t="inlineStr">
        <is>
          <t>H3</t>
        </is>
      </c>
      <c r="B102" s="20" t="inlineStr">
        <is>
          <t>Close-out and sign-off</t>
        </is>
      </c>
      <c r="C102" s="20" t="inlineStr">
        <is>
          <t>Completed checklist saved in the re-run folder</t>
        </is>
      </c>
      <c r="D102" s="20" t="inlineStr">
        <is>
          <t>Save this workbook as QA_Checklist_&lt;date&gt;_&lt;initials&gt;.xlsx in qa/reruns/&lt;date&gt;_&lt;initials&gt;/review/.</t>
        </is>
      </c>
      <c r="E102" s="20" t="inlineStr">
        <is>
          <t>qa/reruns/&lt;date&gt;_&lt;initials&gt;/review/</t>
        </is>
      </c>
      <c r="F102" s="20" t="inlineStr">
        <is>
          <t>Saved</t>
        </is>
      </c>
      <c r="G102" s="21" t="inlineStr">
        <is>
          <t>Not started</t>
        </is>
      </c>
      <c r="H102" s="22" t="n"/>
      <c r="I102" s="21" t="n"/>
      <c r="J102" s="21" t="n"/>
      <c r="K102" s="21" t="n"/>
      <c r="L102" s="21" t="n"/>
    </row>
    <row r="103">
      <c r="A103" s="20" t="inlineStr">
        <is>
          <t>H4</t>
        </is>
      </c>
      <c r="B103" s="20" t="inlineStr">
        <is>
          <t>Close-out and sign-off</t>
        </is>
      </c>
      <c r="C103" s="20" t="inlineStr">
        <is>
          <t>Sign-off form completed and saved</t>
        </is>
      </c>
      <c r="D103" s="20" t="inlineStr">
        <is>
          <t>Complete qa/QA_Signoff_Template.docx, sign it, and save it (and a PDF) in the review/ folder.</t>
        </is>
      </c>
      <c r="E103" s="20" t="inlineStr">
        <is>
          <t>qa/reruns/&lt;date&gt;_&lt;initials&gt;/review/</t>
        </is>
      </c>
      <c r="F103" s="20" t="inlineStr">
        <is>
          <t>Signed and saved</t>
        </is>
      </c>
      <c r="G103" s="21" t="inlineStr">
        <is>
          <t>Not started</t>
        </is>
      </c>
      <c r="H103" s="22" t="n"/>
      <c r="I103" s="21" t="n"/>
      <c r="J103" s="21" t="n"/>
      <c r="K103" s="21" t="n"/>
      <c r="L103" s="21" t="n"/>
    </row>
    <row r="104">
      <c r="A104" s="20" t="inlineStr">
        <is>
          <t>H5</t>
        </is>
      </c>
      <c r="B104" s="20" t="inlineStr">
        <is>
          <t>Close-out and sign-off</t>
        </is>
      </c>
      <c r="C104" s="20" t="inlineStr">
        <is>
          <t>Re-run folder submitted</t>
        </is>
      </c>
      <c r="D104" s="20" t="inlineStr">
        <is>
          <t>Submit the qa/reruns/&lt;date&gt;_&lt;initials&gt;/ folder to the project (pull request or ZIP to the author).</t>
        </is>
      </c>
      <c r="E104" s="20" t="inlineStr">
        <is>
          <t>qa/README.md, step 9</t>
        </is>
      </c>
      <c r="F104" s="20" t="inlineStr">
        <is>
          <t>Submitted; date recorded</t>
        </is>
      </c>
      <c r="G104" s="21" t="inlineStr">
        <is>
          <t>Not started</t>
        </is>
      </c>
      <c r="H104" s="22" t="n"/>
      <c r="I104" s="21" t="n"/>
      <c r="J104" s="21" t="n"/>
      <c r="K104" s="21" t="n"/>
      <c r="L104" s="21" t="n"/>
    </row>
  </sheetData>
  <autoFilter ref="A4:L104"/>
  <conditionalFormatting sqref="G6:G104">
    <cfRule type="cellIs" priority="1" operator="equal" dxfId="0">
      <formula>"Pass"</formula>
    </cfRule>
    <cfRule type="cellIs" priority="2" operator="equal" dxfId="1">
      <formula>"Fail"</formula>
    </cfRule>
    <cfRule type="cellIs" priority="3" operator="equal" dxfId="2">
      <formula>"N/A"</formula>
    </cfRule>
  </conditionalFormatting>
  <conditionalFormatting sqref="K6:K104">
    <cfRule type="expression" priority="4" dxfId="1">
      <formula>AND($G6="Fail",$K6="")</formula>
    </cfRule>
  </conditionalFormatting>
  <dataValidations count="1">
    <dataValidation sqref="G6:G104" showDropDown="0" showInputMessage="0" showErrorMessage="1" allowBlank="0" errorTitle="Status" error="Choose Not started, Pass, Fail or N/A." type="list">
      <formula1>"Not started,Pass,Fail,N/A"</formula1>
    </dataValidation>
  </dataValidations>
  <pageMargins left="0.75" right="0.75" top="1" bottom="1" header="0.5" footer="0.5"/>
  <pageSetup orientation="landscape"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30"/>
  <sheetViews>
    <sheetView zoomScale="100" workbookViewId="0">
      <pane ySplit="4" topLeftCell="A5" activePane="bottomLeft" state="frozen"/>
      <selection pane="bottomLeft" activeCell="A1" sqref="A1"/>
    </sheetView>
  </sheetViews>
  <sheetFormatPr baseColWidth="8" defaultRowHeight="15"/>
  <cols>
    <col width="36" customWidth="1" min="1" max="1"/>
    <col width="18" customWidth="1" min="2" max="2"/>
    <col width="12" customWidth="1" min="3" max="3"/>
    <col width="22" customWidth="1" min="4" max="4"/>
    <col width="22" customWidth="1" min="5" max="5"/>
    <col width="14" customWidth="1" min="6" max="6"/>
    <col width="18" customWidth="1" min="7" max="7"/>
    <col width="24" customWidth="1" min="8" max="8"/>
    <col width="44" customWidth="1" min="9" max="9"/>
  </cols>
  <sheetData>
    <row r="1">
      <c r="A1" s="1" t="inlineStr">
        <is>
          <t>Run log</t>
        </is>
      </c>
    </row>
    <row r="2">
      <c r="A2" s="2" t="inlineStr">
        <is>
          <t>One row per run folder in start-here/logs/ (copy from RERUN_SUMMARY.md and run_log.txt). Duration is calculated.</t>
        </is>
      </c>
    </row>
    <row r="4">
      <c r="A4" s="9" t="inlineStr">
        <is>
          <t>Run folder name</t>
        </is>
      </c>
      <c r="B4" s="9" t="inlineStr">
        <is>
          <t>Run type</t>
        </is>
      </c>
      <c r="C4" s="9" t="inlineStr">
        <is>
          <t>Stages run</t>
        </is>
      </c>
      <c r="D4" s="9" t="inlineStr">
        <is>
          <t>Started (YYYY-MM-DD HH:MM)</t>
        </is>
      </c>
      <c r="E4" s="9" t="inlineStr">
        <is>
          <t>Finished (YYYY-MM-DD HH:MM)</t>
        </is>
      </c>
      <c r="F4" s="9" t="inlineStr">
        <is>
          <t>Duration (h:mm)</t>
        </is>
      </c>
      <c r="G4" s="9" t="inlineStr">
        <is>
          <t>Outcome</t>
        </is>
      </c>
      <c r="H4" s="9" t="inlineStr">
        <is>
          <t>Result check</t>
        </is>
      </c>
      <c r="I4" s="9" t="inlineStr">
        <is>
          <t>Notes</t>
        </is>
      </c>
    </row>
    <row r="5">
      <c r="A5" s="23" t="inlineStr">
        <is>
          <t>run_2026-10-21_093000_quick (EXAMPLE: replace)</t>
        </is>
      </c>
      <c r="B5" s="23" t="inlineStr">
        <is>
          <t>Quick trial</t>
        </is>
      </c>
      <c r="C5" s="23" t="inlineStr">
        <is>
          <t>1-2</t>
        </is>
      </c>
      <c r="D5" s="24" t="n">
        <v>46316.39583333334</v>
      </c>
      <c r="E5" s="24" t="n">
        <v>46316.39791666667</v>
      </c>
      <c r="F5" s="25">
        <f>IF(AND(ISNUMBER(D5),ISNUMBER(E5)),E5-D5,"")</f>
        <v/>
      </c>
      <c r="G5" s="23" t="inlineStr">
        <is>
          <t>Finished</t>
        </is>
      </c>
      <c r="H5" s="23" t="inlineStr">
        <is>
          <t>N/A (trial)</t>
        </is>
      </c>
      <c r="I5" s="23" t="inlineStr">
        <is>
          <t>Example row showing the format; overwrite it with your first run.</t>
        </is>
      </c>
    </row>
    <row r="6">
      <c r="A6" s="26" t="n"/>
      <c r="B6" s="26" t="n"/>
      <c r="C6" s="26" t="n"/>
      <c r="D6" s="27" t="n"/>
      <c r="E6" s="27" t="n"/>
      <c r="F6" s="28">
        <f>IF(AND(ISNUMBER(D6),ISNUMBER(E6)),E6-D6,"")</f>
        <v/>
      </c>
      <c r="G6" s="26" t="n"/>
      <c r="H6" s="26" t="n"/>
      <c r="I6" s="26" t="n"/>
    </row>
    <row r="7">
      <c r="A7" s="26" t="n"/>
      <c r="B7" s="26" t="n"/>
      <c r="C7" s="26" t="n"/>
      <c r="D7" s="27" t="n"/>
      <c r="E7" s="27" t="n"/>
      <c r="F7" s="28">
        <f>IF(AND(ISNUMBER(D7),ISNUMBER(E7)),E7-D7,"")</f>
        <v/>
      </c>
      <c r="G7" s="26" t="n"/>
      <c r="H7" s="26" t="n"/>
      <c r="I7" s="26" t="n"/>
    </row>
    <row r="8">
      <c r="A8" s="26" t="n"/>
      <c r="B8" s="26" t="n"/>
      <c r="C8" s="26" t="n"/>
      <c r="D8" s="27" t="n"/>
      <c r="E8" s="27" t="n"/>
      <c r="F8" s="28">
        <f>IF(AND(ISNUMBER(D8),ISNUMBER(E8)),E8-D8,"")</f>
        <v/>
      </c>
      <c r="G8" s="26" t="n"/>
      <c r="H8" s="26" t="n"/>
      <c r="I8" s="26" t="n"/>
    </row>
    <row r="9">
      <c r="A9" s="26" t="n"/>
      <c r="B9" s="26" t="n"/>
      <c r="C9" s="26" t="n"/>
      <c r="D9" s="27" t="n"/>
      <c r="E9" s="27" t="n"/>
      <c r="F9" s="28">
        <f>IF(AND(ISNUMBER(D9),ISNUMBER(E9)),E9-D9,"")</f>
        <v/>
      </c>
      <c r="G9" s="26" t="n"/>
      <c r="H9" s="26" t="n"/>
      <c r="I9" s="26" t="n"/>
    </row>
    <row r="10">
      <c r="A10" s="26" t="n"/>
      <c r="B10" s="26" t="n"/>
      <c r="C10" s="26" t="n"/>
      <c r="D10" s="27" t="n"/>
      <c r="E10" s="27" t="n"/>
      <c r="F10" s="28">
        <f>IF(AND(ISNUMBER(D10),ISNUMBER(E10)),E10-D10,"")</f>
        <v/>
      </c>
      <c r="G10" s="26" t="n"/>
      <c r="H10" s="26" t="n"/>
      <c r="I10" s="26" t="n"/>
    </row>
    <row r="11">
      <c r="A11" s="26" t="n"/>
      <c r="B11" s="26" t="n"/>
      <c r="C11" s="26" t="n"/>
      <c r="D11" s="27" t="n"/>
      <c r="E11" s="27" t="n"/>
      <c r="F11" s="28">
        <f>IF(AND(ISNUMBER(D11),ISNUMBER(E11)),E11-D11,"")</f>
        <v/>
      </c>
      <c r="G11" s="26" t="n"/>
      <c r="H11" s="26" t="n"/>
      <c r="I11" s="26" t="n"/>
    </row>
    <row r="12">
      <c r="A12" s="26" t="n"/>
      <c r="B12" s="26" t="n"/>
      <c r="C12" s="26" t="n"/>
      <c r="D12" s="27" t="n"/>
      <c r="E12" s="27" t="n"/>
      <c r="F12" s="28">
        <f>IF(AND(ISNUMBER(D12),ISNUMBER(E12)),E12-D12,"")</f>
        <v/>
      </c>
      <c r="G12" s="26" t="n"/>
      <c r="H12" s="26" t="n"/>
      <c r="I12" s="26" t="n"/>
    </row>
    <row r="13">
      <c r="A13" s="26" t="n"/>
      <c r="B13" s="26" t="n"/>
      <c r="C13" s="26" t="n"/>
      <c r="D13" s="27" t="n"/>
      <c r="E13" s="27" t="n"/>
      <c r="F13" s="28">
        <f>IF(AND(ISNUMBER(D13),ISNUMBER(E13)),E13-D13,"")</f>
        <v/>
      </c>
      <c r="G13" s="26" t="n"/>
      <c r="H13" s="26" t="n"/>
      <c r="I13" s="26" t="n"/>
    </row>
    <row r="14">
      <c r="A14" s="26" t="n"/>
      <c r="B14" s="26" t="n"/>
      <c r="C14" s="26" t="n"/>
      <c r="D14" s="27" t="n"/>
      <c r="E14" s="27" t="n"/>
      <c r="F14" s="28">
        <f>IF(AND(ISNUMBER(D14),ISNUMBER(E14)),E14-D14,"")</f>
        <v/>
      </c>
      <c r="G14" s="26" t="n"/>
      <c r="H14" s="26" t="n"/>
      <c r="I14" s="26" t="n"/>
    </row>
    <row r="15">
      <c r="A15" s="26" t="n"/>
      <c r="B15" s="26" t="n"/>
      <c r="C15" s="26" t="n"/>
      <c r="D15" s="27" t="n"/>
      <c r="E15" s="27" t="n"/>
      <c r="F15" s="28">
        <f>IF(AND(ISNUMBER(D15),ISNUMBER(E15)),E15-D15,"")</f>
        <v/>
      </c>
      <c r="G15" s="26" t="n"/>
      <c r="H15" s="26" t="n"/>
      <c r="I15" s="26" t="n"/>
    </row>
    <row r="16">
      <c r="A16" s="26" t="n"/>
      <c r="B16" s="26" t="n"/>
      <c r="C16" s="26" t="n"/>
      <c r="D16" s="27" t="n"/>
      <c r="E16" s="27" t="n"/>
      <c r="F16" s="28">
        <f>IF(AND(ISNUMBER(D16),ISNUMBER(E16)),E16-D16,"")</f>
        <v/>
      </c>
      <c r="G16" s="26" t="n"/>
      <c r="H16" s="26" t="n"/>
      <c r="I16" s="26" t="n"/>
    </row>
    <row r="19">
      <c r="A19" s="13" t="inlineStr">
        <is>
          <t>Stage run times (full replication)</t>
        </is>
      </c>
    </row>
    <row r="20">
      <c r="A20" s="9" t="inlineStr">
        <is>
          <t>Stage</t>
        </is>
      </c>
      <c r="B20" s="9" t="inlineStr">
        <is>
          <t>Description</t>
        </is>
      </c>
      <c r="C20" s="9" t="inlineStr"/>
      <c r="D20" s="9" t="inlineStr">
        <is>
          <t>Published time (2 cores, 8 GB)</t>
        </is>
      </c>
      <c r="E20" s="9" t="inlineStr">
        <is>
          <t>Your time (h:mm:ss)</t>
        </is>
      </c>
      <c r="F20" s="9" t="inlineStr"/>
      <c r="G20" s="9" t="inlineStr">
        <is>
          <t>Notes</t>
        </is>
      </c>
    </row>
    <row r="21">
      <c r="A21" s="7" t="n">
        <v>1</v>
      </c>
      <c r="B21" s="7" t="inlineStr">
        <is>
          <t>Build the synthetic populations</t>
        </is>
      </c>
      <c r="D21" s="29" t="n">
        <v>0.0008912037037037037</v>
      </c>
      <c r="E21" s="30" t="n"/>
      <c r="G21" s="6" t="n"/>
    </row>
    <row r="22">
      <c r="A22" s="7" t="n">
        <v>2</v>
      </c>
      <c r="B22" s="7" t="inlineStr">
        <is>
          <t>Estimate: parametric-rate bootstrap (reported)</t>
        </is>
      </c>
      <c r="D22" s="29" t="n">
        <v>0.0475</v>
      </c>
      <c r="E22" s="30" t="n"/>
      <c r="G22" s="6" t="n"/>
    </row>
    <row r="23">
      <c r="A23" s="7" t="n">
        <v>3</v>
      </c>
      <c r="B23" s="7" t="inlineStr">
        <is>
          <t>Estimate: fixed-rate bootstrap (comparison)</t>
        </is>
      </c>
      <c r="D23" s="29" t="n">
        <v>0.05021990740740741</v>
      </c>
      <c r="E23" s="30" t="n"/>
      <c r="G23" s="6" t="n"/>
    </row>
    <row r="24">
      <c r="A24" s="7" t="n">
        <v>4</v>
      </c>
      <c r="B24" s="7" t="inlineStr">
        <is>
          <t>Part D pre-IRA reference</t>
        </is>
      </c>
      <c r="D24" s="29" t="n">
        <v>0.04783564814814815</v>
      </c>
      <c r="E24" s="30" t="n"/>
      <c r="G24" s="6" t="n"/>
    </row>
    <row r="25">
      <c r="A25" s="7" t="n">
        <v>5</v>
      </c>
      <c r="B25" s="7" t="inlineStr">
        <is>
          <t>Join estimates to the truth</t>
        </is>
      </c>
      <c r="D25" s="29" t="n">
        <v>1.157407407407407e-05</v>
      </c>
      <c r="E25" s="30" t="n"/>
      <c r="G25" s="6" t="n"/>
    </row>
    <row r="26">
      <c r="A26" s="7" t="n">
        <v>6</v>
      </c>
      <c r="B26" s="7" t="inlineStr">
        <is>
          <t>Manuscript tables and figures</t>
        </is>
      </c>
      <c r="D26" s="29" t="n">
        <v>2.314814814814815e-05</v>
      </c>
      <c r="E26" s="30" t="n"/>
      <c r="G26" s="6" t="n"/>
    </row>
    <row r="27">
      <c r="A27" s="7" t="n">
        <v>7</v>
      </c>
      <c r="B27" s="7" t="inlineStr">
        <is>
          <t>Automated tests</t>
        </is>
      </c>
      <c r="D27" s="29" t="n">
        <v>0.0007175925925925926</v>
      </c>
      <c r="E27" s="30" t="n"/>
      <c r="G27" s="6" t="n"/>
    </row>
    <row r="28">
      <c r="A28" s="7" t="n">
        <v>8</v>
      </c>
      <c r="B28" s="7" t="inlineStr">
        <is>
          <t>Result check</t>
        </is>
      </c>
      <c r="D28" s="29" t="n">
        <v>1.157407407407407e-05</v>
      </c>
      <c r="E28" s="30" t="n"/>
      <c r="G28" s="6" t="n"/>
    </row>
    <row r="29">
      <c r="B29" s="5" t="inlineStr">
        <is>
          <t>Total</t>
        </is>
      </c>
      <c r="D29" s="31">
        <f>SUM(D21:D28)</f>
        <v/>
      </c>
      <c r="E29" s="31">
        <f>SUM(E21:E28)</f>
        <v/>
      </c>
    </row>
    <row r="30">
      <c r="A30" s="2" t="inlineStr">
        <is>
          <t>Published times: measured on the author's test re-run, 2026-10-20 (start-here/README.md, step 7). Enter your times from run_log.txt ('Stage N finished in ...').</t>
        </is>
      </c>
    </row>
  </sheetData>
  <dataValidations count="3">
    <dataValidation sqref="B5:B16" showDropDown="0" showInputMessage="0" showErrorMessage="0" allowBlank="1" type="list">
      <formula1>"Quick trial,Full replication,Partial (resumed)"</formula1>
    </dataValidation>
    <dataValidation sqref="G5:G16" showDropDown="0" showInputMessage="0" showErrorMessage="0" allowBlank="1" type="list">
      <formula1>"Finished,Failed,Interrupted"</formula1>
    </dataValidation>
    <dataValidation sqref="H5:H16" showDropDown="0" showInputMessage="0" showErrorMessage="0" allowBlank="1" type="list">
      <formula1>"REPRODUCED EXACTLY,REPRODUCED,NOT REPRODUCED,N/A (trial)"</formula1>
    </dataValidation>
  </dataValidation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K41"/>
  <sheetViews>
    <sheetView zoomScale="100" workbookViewId="0">
      <pane ySplit="4" topLeftCell="A5" activePane="bottomLeft" state="frozen"/>
      <selection pane="bottomLeft" activeCell="A1" sqref="A1"/>
    </sheetView>
  </sheetViews>
  <sheetFormatPr baseColWidth="8" defaultRowHeight="15"/>
  <cols>
    <col width="9" customWidth="1" min="1" max="1"/>
    <col width="12" customWidth="1" min="2" max="2"/>
    <col width="11" customWidth="1" min="3" max="3"/>
    <col width="11" customWidth="1" min="4" max="4"/>
    <col width="50" customWidth="1" min="5" max="5"/>
    <col width="36" customWidth="1" min="6" max="6"/>
    <col width="26" customWidth="1" min="7" max="7"/>
    <col width="11" customWidth="1" min="8" max="8"/>
    <col width="40" customWidth="1" min="9" max="9"/>
    <col width="13" customWidth="1" min="10" max="10"/>
    <col width="14" customWidth="1" min="11" max="11"/>
  </cols>
  <sheetData>
    <row r="1">
      <c r="A1" s="1" t="inlineStr">
        <is>
          <t>Issues log</t>
        </is>
      </c>
    </row>
    <row r="2">
      <c r="A2" s="2" t="inlineStr">
        <is>
          <t>One row per problem found. Use the ID (I-01, I-02, ...) in the Checklist's Issue ID column.</t>
        </is>
      </c>
    </row>
    <row r="4">
      <c r="A4" s="9" t="inlineStr">
        <is>
          <t>Issue ID</t>
        </is>
      </c>
      <c r="B4" s="9" t="inlineStr">
        <is>
          <t>Date found</t>
        </is>
      </c>
      <c r="C4" s="9" t="inlineStr">
        <is>
          <t>Checklist ID</t>
        </is>
      </c>
      <c r="D4" s="9" t="inlineStr">
        <is>
          <t>Severity</t>
        </is>
      </c>
      <c r="E4" s="9" t="inlineStr">
        <is>
          <t>Description</t>
        </is>
      </c>
      <c r="F4" s="9" t="inlineStr">
        <is>
          <t>File / location</t>
        </is>
      </c>
      <c r="G4" s="9" t="inlineStr">
        <is>
          <t>How found</t>
        </is>
      </c>
      <c r="H4" s="9" t="inlineStr">
        <is>
          <t>Status</t>
        </is>
      </c>
      <c r="I4" s="9" t="inlineStr">
        <is>
          <t>Resolution</t>
        </is>
      </c>
      <c r="J4" s="9" t="inlineStr">
        <is>
          <t>Date resolved</t>
        </is>
      </c>
      <c r="K4" s="9" t="inlineStr">
        <is>
          <t>Resolved by</t>
        </is>
      </c>
    </row>
    <row r="5">
      <c r="A5" s="23" t="inlineStr">
        <is>
          <t>I-01 (EXAMPLE)</t>
        </is>
      </c>
      <c r="B5" s="32" t="n">
        <v>46316</v>
      </c>
      <c r="C5" s="23" t="inlineStr">
        <is>
          <t>C21</t>
        </is>
      </c>
      <c r="D5" s="23" t="inlineStr">
        <is>
          <t>Minor</t>
        </is>
      </c>
      <c r="E5" s="23" t="inlineStr">
        <is>
          <t>Example only (resolved in the 2026-10-21 review): the Part C errors/config.yaml design block once listed 1,500 enrollees per stratum while the estimation used 330 per tercile (990).</t>
        </is>
      </c>
      <c r="F5" s="23" t="inlineStr">
        <is>
          <t>part-c-ipm/errors/config.yaml (design: strata)</t>
        </is>
      </c>
      <c r="G5" s="23" t="inlineStr">
        <is>
          <t>Code review</t>
        </is>
      </c>
      <c r="H5" s="23" t="inlineStr">
        <is>
          <t>Open</t>
        </is>
      </c>
      <c r="I5" s="23" t="inlineStr">
        <is>
          <t>Metadata only (written to design.yaml); no result affected. Author to correct the description.</t>
        </is>
      </c>
      <c r="J5" s="32" t="n"/>
      <c r="K5" s="23" t="n"/>
    </row>
    <row r="6">
      <c r="A6" s="26" t="n"/>
      <c r="B6" s="33" t="n"/>
      <c r="C6" s="26" t="n"/>
      <c r="D6" s="26" t="n"/>
      <c r="E6" s="26" t="n"/>
      <c r="F6" s="26" t="n"/>
      <c r="G6" s="26" t="n"/>
      <c r="H6" s="26" t="n"/>
      <c r="I6" s="26" t="n"/>
      <c r="J6" s="33" t="n"/>
      <c r="K6" s="26" t="n"/>
    </row>
    <row r="7">
      <c r="A7" s="26" t="n"/>
      <c r="B7" s="33" t="n"/>
      <c r="C7" s="26" t="n"/>
      <c r="D7" s="26" t="n"/>
      <c r="E7" s="26" t="n"/>
      <c r="F7" s="26" t="n"/>
      <c r="G7" s="26" t="n"/>
      <c r="H7" s="26" t="n"/>
      <c r="I7" s="26" t="n"/>
      <c r="J7" s="33" t="n"/>
      <c r="K7" s="26" t="n"/>
    </row>
    <row r="8">
      <c r="A8" s="26" t="n"/>
      <c r="B8" s="33" t="n"/>
      <c r="C8" s="26" t="n"/>
      <c r="D8" s="26" t="n"/>
      <c r="E8" s="26" t="n"/>
      <c r="F8" s="26" t="n"/>
      <c r="G8" s="26" t="n"/>
      <c r="H8" s="26" t="n"/>
      <c r="I8" s="26" t="n"/>
      <c r="J8" s="33" t="n"/>
      <c r="K8" s="26" t="n"/>
    </row>
    <row r="9">
      <c r="A9" s="26" t="n"/>
      <c r="B9" s="33" t="n"/>
      <c r="C9" s="26" t="n"/>
      <c r="D9" s="26" t="n"/>
      <c r="E9" s="26" t="n"/>
      <c r="F9" s="26" t="n"/>
      <c r="G9" s="26" t="n"/>
      <c r="H9" s="26" t="n"/>
      <c r="I9" s="26" t="n"/>
      <c r="J9" s="33" t="n"/>
      <c r="K9" s="26" t="n"/>
    </row>
    <row r="10">
      <c r="A10" s="26" t="n"/>
      <c r="B10" s="33" t="n"/>
      <c r="C10" s="26" t="n"/>
      <c r="D10" s="26" t="n"/>
      <c r="E10" s="26" t="n"/>
      <c r="F10" s="26" t="n"/>
      <c r="G10" s="26" t="n"/>
      <c r="H10" s="26" t="n"/>
      <c r="I10" s="26" t="n"/>
      <c r="J10" s="33" t="n"/>
      <c r="K10" s="26" t="n"/>
    </row>
    <row r="11">
      <c r="A11" s="26" t="n"/>
      <c r="B11" s="33" t="n"/>
      <c r="C11" s="26" t="n"/>
      <c r="D11" s="26" t="n"/>
      <c r="E11" s="26" t="n"/>
      <c r="F11" s="26" t="n"/>
      <c r="G11" s="26" t="n"/>
      <c r="H11" s="26" t="n"/>
      <c r="I11" s="26" t="n"/>
      <c r="J11" s="33" t="n"/>
      <c r="K11" s="26" t="n"/>
    </row>
    <row r="12">
      <c r="A12" s="26" t="n"/>
      <c r="B12" s="33" t="n"/>
      <c r="C12" s="26" t="n"/>
      <c r="D12" s="26" t="n"/>
      <c r="E12" s="26" t="n"/>
      <c r="F12" s="26" t="n"/>
      <c r="G12" s="26" t="n"/>
      <c r="H12" s="26" t="n"/>
      <c r="I12" s="26" t="n"/>
      <c r="J12" s="33" t="n"/>
      <c r="K12" s="26" t="n"/>
    </row>
    <row r="13">
      <c r="A13" s="26" t="n"/>
      <c r="B13" s="33" t="n"/>
      <c r="C13" s="26" t="n"/>
      <c r="D13" s="26" t="n"/>
      <c r="E13" s="26" t="n"/>
      <c r="F13" s="26" t="n"/>
      <c r="G13" s="26" t="n"/>
      <c r="H13" s="26" t="n"/>
      <c r="I13" s="26" t="n"/>
      <c r="J13" s="33" t="n"/>
      <c r="K13" s="26" t="n"/>
    </row>
    <row r="14">
      <c r="A14" s="26" t="n"/>
      <c r="B14" s="33" t="n"/>
      <c r="C14" s="26" t="n"/>
      <c r="D14" s="26" t="n"/>
      <c r="E14" s="26" t="n"/>
      <c r="F14" s="26" t="n"/>
      <c r="G14" s="26" t="n"/>
      <c r="H14" s="26" t="n"/>
      <c r="I14" s="26" t="n"/>
      <c r="J14" s="33" t="n"/>
      <c r="K14" s="26" t="n"/>
    </row>
    <row r="15">
      <c r="A15" s="26" t="n"/>
      <c r="B15" s="33" t="n"/>
      <c r="C15" s="26" t="n"/>
      <c r="D15" s="26" t="n"/>
      <c r="E15" s="26" t="n"/>
      <c r="F15" s="26" t="n"/>
      <c r="G15" s="26" t="n"/>
      <c r="H15" s="26" t="n"/>
      <c r="I15" s="26" t="n"/>
      <c r="J15" s="33" t="n"/>
      <c r="K15" s="26" t="n"/>
    </row>
    <row r="16">
      <c r="A16" s="26" t="n"/>
      <c r="B16" s="33" t="n"/>
      <c r="C16" s="26" t="n"/>
      <c r="D16" s="26" t="n"/>
      <c r="E16" s="26" t="n"/>
      <c r="F16" s="26" t="n"/>
      <c r="G16" s="26" t="n"/>
      <c r="H16" s="26" t="n"/>
      <c r="I16" s="26" t="n"/>
      <c r="J16" s="33" t="n"/>
      <c r="K16" s="26" t="n"/>
    </row>
    <row r="17">
      <c r="A17" s="26" t="n"/>
      <c r="B17" s="33" t="n"/>
      <c r="C17" s="26" t="n"/>
      <c r="D17" s="26" t="n"/>
      <c r="E17" s="26" t="n"/>
      <c r="F17" s="26" t="n"/>
      <c r="G17" s="26" t="n"/>
      <c r="H17" s="26" t="n"/>
      <c r="I17" s="26" t="n"/>
      <c r="J17" s="33" t="n"/>
      <c r="K17" s="26" t="n"/>
    </row>
    <row r="18">
      <c r="A18" s="26" t="n"/>
      <c r="B18" s="33" t="n"/>
      <c r="C18" s="26" t="n"/>
      <c r="D18" s="26" t="n"/>
      <c r="E18" s="26" t="n"/>
      <c r="F18" s="26" t="n"/>
      <c r="G18" s="26" t="n"/>
      <c r="H18" s="26" t="n"/>
      <c r="I18" s="26" t="n"/>
      <c r="J18" s="33" t="n"/>
      <c r="K18" s="26" t="n"/>
    </row>
    <row r="19">
      <c r="A19" s="26" t="n"/>
      <c r="B19" s="33" t="n"/>
      <c r="C19" s="26" t="n"/>
      <c r="D19" s="26" t="n"/>
      <c r="E19" s="26" t="n"/>
      <c r="F19" s="26" t="n"/>
      <c r="G19" s="26" t="n"/>
      <c r="H19" s="26" t="n"/>
      <c r="I19" s="26" t="n"/>
      <c r="J19" s="33" t="n"/>
      <c r="K19" s="26" t="n"/>
    </row>
    <row r="20">
      <c r="A20" s="26" t="n"/>
      <c r="B20" s="33" t="n"/>
      <c r="C20" s="26" t="n"/>
      <c r="D20" s="26" t="n"/>
      <c r="E20" s="26" t="n"/>
      <c r="F20" s="26" t="n"/>
      <c r="G20" s="26" t="n"/>
      <c r="H20" s="26" t="n"/>
      <c r="I20" s="26" t="n"/>
      <c r="J20" s="33" t="n"/>
      <c r="K20" s="26" t="n"/>
    </row>
    <row r="21">
      <c r="A21" s="26" t="n"/>
      <c r="B21" s="33" t="n"/>
      <c r="C21" s="26" t="n"/>
      <c r="D21" s="26" t="n"/>
      <c r="E21" s="26" t="n"/>
      <c r="F21" s="26" t="n"/>
      <c r="G21" s="26" t="n"/>
      <c r="H21" s="26" t="n"/>
      <c r="I21" s="26" t="n"/>
      <c r="J21" s="33" t="n"/>
      <c r="K21" s="26" t="n"/>
    </row>
    <row r="22">
      <c r="A22" s="26" t="n"/>
      <c r="B22" s="33" t="n"/>
      <c r="C22" s="26" t="n"/>
      <c r="D22" s="26" t="n"/>
      <c r="E22" s="26" t="n"/>
      <c r="F22" s="26" t="n"/>
      <c r="G22" s="26" t="n"/>
      <c r="H22" s="26" t="n"/>
      <c r="I22" s="26" t="n"/>
      <c r="J22" s="33" t="n"/>
      <c r="K22" s="26" t="n"/>
    </row>
    <row r="23">
      <c r="A23" s="26" t="n"/>
      <c r="B23" s="33" t="n"/>
      <c r="C23" s="26" t="n"/>
      <c r="D23" s="26" t="n"/>
      <c r="E23" s="26" t="n"/>
      <c r="F23" s="26" t="n"/>
      <c r="G23" s="26" t="n"/>
      <c r="H23" s="26" t="n"/>
      <c r="I23" s="26" t="n"/>
      <c r="J23" s="33" t="n"/>
      <c r="K23" s="26" t="n"/>
    </row>
    <row r="24">
      <c r="A24" s="26" t="n"/>
      <c r="B24" s="33" t="n"/>
      <c r="C24" s="26" t="n"/>
      <c r="D24" s="26" t="n"/>
      <c r="E24" s="26" t="n"/>
      <c r="F24" s="26" t="n"/>
      <c r="G24" s="26" t="n"/>
      <c r="H24" s="26" t="n"/>
      <c r="I24" s="26" t="n"/>
      <c r="J24" s="33" t="n"/>
      <c r="K24" s="26" t="n"/>
    </row>
    <row r="25">
      <c r="A25" s="26" t="n"/>
      <c r="B25" s="33" t="n"/>
      <c r="C25" s="26" t="n"/>
      <c r="D25" s="26" t="n"/>
      <c r="E25" s="26" t="n"/>
      <c r="F25" s="26" t="n"/>
      <c r="G25" s="26" t="n"/>
      <c r="H25" s="26" t="n"/>
      <c r="I25" s="26" t="n"/>
      <c r="J25" s="33" t="n"/>
      <c r="K25" s="26" t="n"/>
    </row>
    <row r="26">
      <c r="A26" s="26" t="n"/>
      <c r="B26" s="33" t="n"/>
      <c r="C26" s="26" t="n"/>
      <c r="D26" s="26" t="n"/>
      <c r="E26" s="26" t="n"/>
      <c r="F26" s="26" t="n"/>
      <c r="G26" s="26" t="n"/>
      <c r="H26" s="26" t="n"/>
      <c r="I26" s="26" t="n"/>
      <c r="J26" s="33" t="n"/>
      <c r="K26" s="26" t="n"/>
    </row>
    <row r="27">
      <c r="A27" s="26" t="n"/>
      <c r="B27" s="33" t="n"/>
      <c r="C27" s="26" t="n"/>
      <c r="D27" s="26" t="n"/>
      <c r="E27" s="26" t="n"/>
      <c r="F27" s="26" t="n"/>
      <c r="G27" s="26" t="n"/>
      <c r="H27" s="26" t="n"/>
      <c r="I27" s="26" t="n"/>
      <c r="J27" s="33" t="n"/>
      <c r="K27" s="26" t="n"/>
    </row>
    <row r="28">
      <c r="A28" s="26" t="n"/>
      <c r="B28" s="33" t="n"/>
      <c r="C28" s="26" t="n"/>
      <c r="D28" s="26" t="n"/>
      <c r="E28" s="26" t="n"/>
      <c r="F28" s="26" t="n"/>
      <c r="G28" s="26" t="n"/>
      <c r="H28" s="26" t="n"/>
      <c r="I28" s="26" t="n"/>
      <c r="J28" s="33" t="n"/>
      <c r="K28" s="26" t="n"/>
    </row>
    <row r="29">
      <c r="A29" s="26" t="n"/>
      <c r="B29" s="33" t="n"/>
      <c r="C29" s="26" t="n"/>
      <c r="D29" s="26" t="n"/>
      <c r="E29" s="26" t="n"/>
      <c r="F29" s="26" t="n"/>
      <c r="G29" s="26" t="n"/>
      <c r="H29" s="26" t="n"/>
      <c r="I29" s="26" t="n"/>
      <c r="J29" s="33" t="n"/>
      <c r="K29" s="26" t="n"/>
    </row>
    <row r="30">
      <c r="A30" s="26" t="n"/>
      <c r="B30" s="33" t="n"/>
      <c r="C30" s="26" t="n"/>
      <c r="D30" s="26" t="n"/>
      <c r="E30" s="26" t="n"/>
      <c r="F30" s="26" t="n"/>
      <c r="G30" s="26" t="n"/>
      <c r="H30" s="26" t="n"/>
      <c r="I30" s="26" t="n"/>
      <c r="J30" s="33" t="n"/>
      <c r="K30" s="26" t="n"/>
    </row>
    <row r="31">
      <c r="A31" s="26" t="n"/>
      <c r="B31" s="33" t="n"/>
      <c r="C31" s="26" t="n"/>
      <c r="D31" s="26" t="n"/>
      <c r="E31" s="26" t="n"/>
      <c r="F31" s="26" t="n"/>
      <c r="G31" s="26" t="n"/>
      <c r="H31" s="26" t="n"/>
      <c r="I31" s="26" t="n"/>
      <c r="J31" s="33" t="n"/>
      <c r="K31" s="26" t="n"/>
    </row>
    <row r="32">
      <c r="A32" s="26" t="n"/>
      <c r="B32" s="33" t="n"/>
      <c r="C32" s="26" t="n"/>
      <c r="D32" s="26" t="n"/>
      <c r="E32" s="26" t="n"/>
      <c r="F32" s="26" t="n"/>
      <c r="G32" s="26" t="n"/>
      <c r="H32" s="26" t="n"/>
      <c r="I32" s="26" t="n"/>
      <c r="J32" s="33" t="n"/>
      <c r="K32" s="26" t="n"/>
    </row>
    <row r="33">
      <c r="A33" s="26" t="n"/>
      <c r="B33" s="33" t="n"/>
      <c r="C33" s="26" t="n"/>
      <c r="D33" s="26" t="n"/>
      <c r="E33" s="26" t="n"/>
      <c r="F33" s="26" t="n"/>
      <c r="G33" s="26" t="n"/>
      <c r="H33" s="26" t="n"/>
      <c r="I33" s="26" t="n"/>
      <c r="J33" s="33" t="n"/>
      <c r="K33" s="26" t="n"/>
    </row>
    <row r="34">
      <c r="A34" s="26" t="n"/>
      <c r="B34" s="33" t="n"/>
      <c r="C34" s="26" t="n"/>
      <c r="D34" s="26" t="n"/>
      <c r="E34" s="26" t="n"/>
      <c r="F34" s="26" t="n"/>
      <c r="G34" s="26" t="n"/>
      <c r="H34" s="26" t="n"/>
      <c r="I34" s="26" t="n"/>
      <c r="J34" s="33" t="n"/>
      <c r="K34" s="26" t="n"/>
    </row>
    <row r="35">
      <c r="A35" s="26" t="n"/>
      <c r="B35" s="33" t="n"/>
      <c r="C35" s="26" t="n"/>
      <c r="D35" s="26" t="n"/>
      <c r="E35" s="26" t="n"/>
      <c r="F35" s="26" t="n"/>
      <c r="G35" s="26" t="n"/>
      <c r="H35" s="26" t="n"/>
      <c r="I35" s="26" t="n"/>
      <c r="J35" s="33" t="n"/>
      <c r="K35" s="26" t="n"/>
    </row>
    <row r="36">
      <c r="A36" s="26" t="n"/>
      <c r="B36" s="33" t="n"/>
      <c r="C36" s="26" t="n"/>
      <c r="D36" s="26" t="n"/>
      <c r="E36" s="26" t="n"/>
      <c r="F36" s="26" t="n"/>
      <c r="G36" s="26" t="n"/>
      <c r="H36" s="26" t="n"/>
      <c r="I36" s="26" t="n"/>
      <c r="J36" s="33" t="n"/>
      <c r="K36" s="26" t="n"/>
    </row>
    <row r="37">
      <c r="A37" s="26" t="n"/>
      <c r="B37" s="33" t="n"/>
      <c r="C37" s="26" t="n"/>
      <c r="D37" s="26" t="n"/>
      <c r="E37" s="26" t="n"/>
      <c r="F37" s="26" t="n"/>
      <c r="G37" s="26" t="n"/>
      <c r="H37" s="26" t="n"/>
      <c r="I37" s="26" t="n"/>
      <c r="J37" s="33" t="n"/>
      <c r="K37" s="26" t="n"/>
    </row>
    <row r="38">
      <c r="A38" s="26" t="n"/>
      <c r="B38" s="33" t="n"/>
      <c r="C38" s="26" t="n"/>
      <c r="D38" s="26" t="n"/>
      <c r="E38" s="26" t="n"/>
      <c r="F38" s="26" t="n"/>
      <c r="G38" s="26" t="n"/>
      <c r="H38" s="26" t="n"/>
      <c r="I38" s="26" t="n"/>
      <c r="J38" s="33" t="n"/>
      <c r="K38" s="26" t="n"/>
    </row>
    <row r="39">
      <c r="A39" s="26" t="n"/>
      <c r="B39" s="33" t="n"/>
      <c r="C39" s="26" t="n"/>
      <c r="D39" s="26" t="n"/>
      <c r="E39" s="26" t="n"/>
      <c r="F39" s="26" t="n"/>
      <c r="G39" s="26" t="n"/>
      <c r="H39" s="26" t="n"/>
      <c r="I39" s="26" t="n"/>
      <c r="J39" s="33" t="n"/>
      <c r="K39" s="26" t="n"/>
    </row>
    <row r="41" ht="45" customHeight="1">
      <c r="A41" s="18" t="inlineStr">
        <is>
          <t>Severity: Critical = a reported result is wrong or cannot be reproduced. Major = an assumption or method differs from its description in a way that could change a result. Minor = documentation or labeling error with no effect on results. Note = suggestion. Status 'Accepted' = left open by agreement, explained in Resolution. Row 5 is an example (a discrepancy found and resolved in the 2026-10-21 review, Checklist C21). If you find a new issue, delete '(EXAMPLE)' from its ID so it is counted; otherwise overwrite the row.</t>
        </is>
      </c>
    </row>
  </sheetData>
  <mergeCells count="1">
    <mergeCell ref="A41:K41"/>
  </mergeCells>
  <dataValidations count="2">
    <dataValidation sqref="D5:D39" showDropDown="0" showInputMessage="0" showErrorMessage="0" allowBlank="1" type="list">
      <formula1>"Critical,Major,Minor,Note"</formula1>
    </dataValidation>
    <dataValidation sqref="H5:H39" showDropDown="0" showInputMessage="0" showErrorMessage="0" allowBlank="1" type="list">
      <formula1>"Open,Resolved,Accepted"</formula1>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2026-10-22T00:37:06Z</dcterms:created>
  <dcterms:modified xsi:type="dcterms:W3CDTF">2026-10-22T00:37:06Z</dcterms:modified>
</cp:coreProperties>
</file>