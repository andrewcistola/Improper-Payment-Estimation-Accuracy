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viewer" sheetId="3" state="visible" r:id="rId3"/>
    <sheet xmlns:r="http://schemas.openxmlformats.org/officeDocument/2006/relationships" name="Checklist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Issues log" sheetId="6" state="visible" r:id="rId6"/>
  </sheets>
  <definedNames>
    <definedName name="_xlnm._FilterDatabase" localSheetId="3" hidden="1">'Checklist'!$A$4:$L$102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h:mm"/>
    <numFmt numFmtId="166" formatCode="[h]:mm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sz val="12"/>
    </font>
    <font>
      <name val="Arial"/>
      <family val="2"/>
      <sz val="10"/>
    </font>
    <font>
      <name val="Arial"/>
      <charset val="1"/>
      <family val="0"/>
      <i val="1"/>
      <color rgb="FF7F7F7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D9E1F2"/>
        <bgColor rgb="FFEDEDED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top" wrapText="1"/>
    </xf>
    <xf numFmtId="165" fontId="12" fillId="2" borderId="1" applyAlignment="1" pivotButton="0" quotePrefix="0" xfId="0">
      <alignment horizontal="general" vertical="top" wrapText="1"/>
    </xf>
    <xf numFmtId="166" fontId="12" fillId="0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top" wrapText="1"/>
    </xf>
    <xf numFmtId="165" fontId="13" fillId="2" borderId="1" applyAlignment="1" pivotButton="0" quotePrefix="0" xfId="0">
      <alignment horizontal="general" vertical="top" wrapText="1"/>
    </xf>
    <xf numFmtId="166" fontId="13" fillId="0" borderId="1" applyAlignment="1" pivotButton="0" quotePrefix="0" xfId="0">
      <alignment horizontal="general" vertical="top" wrapText="1"/>
    </xf>
    <xf numFmtId="46" fontId="14" fillId="0" borderId="0" applyAlignment="1" pivotButton="0" quotePrefix="0" xfId="0">
      <alignment horizontal="general" vertical="bottom"/>
    </xf>
    <xf numFmtId="46" fontId="0" fillId="2" borderId="1" applyAlignment="1" pivotButton="0" quotePrefix="0" xfId="0">
      <alignment horizontal="general" vertical="bottom"/>
    </xf>
    <xf numFmtId="46" fontId="6" fillId="0" borderId="0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top" wrapText="1"/>
    </xf>
    <xf numFmtId="164" fontId="13" fillId="2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9" fontId="7" fillId="0" borderId="1" applyAlignment="1" pivotButton="0" quotePrefix="0" xfId="0">
      <alignment horizontal="general" vertical="bottom"/>
    </xf>
    <xf numFmtId="9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9" fillId="3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0" fontId="12" fillId="2" borderId="1" applyAlignment="1" pivotButton="0" quotePrefix="0" xfId="0">
      <alignment horizontal="general" vertical="top" wrapText="1"/>
    </xf>
    <xf numFmtId="165" fontId="12" fillId="2" borderId="1" applyAlignment="1" pivotButton="0" quotePrefix="0" xfId="0">
      <alignment horizontal="general" vertical="top" wrapText="1"/>
    </xf>
    <xf numFmtId="166" fontId="12" fillId="0" borderId="1" applyAlignment="1" pivotButton="0" quotePrefix="0" xfId="0">
      <alignment horizontal="general" vertical="top" wrapText="1"/>
    </xf>
    <xf numFmtId="0" fontId="13" fillId="2" borderId="1" applyAlignment="1" pivotButton="0" quotePrefix="0" xfId="0">
      <alignment horizontal="general" vertical="top" wrapText="1"/>
    </xf>
    <xf numFmtId="165" fontId="13" fillId="2" borderId="1" applyAlignment="1" pivotButton="0" quotePrefix="0" xfId="0">
      <alignment horizontal="general" vertical="top" wrapText="1"/>
    </xf>
    <xf numFmtId="166" fontId="13" fillId="0" borderId="1" applyAlignment="1" pivotButton="0" quotePrefix="0" xfId="0">
      <alignment horizontal="general" vertical="top" wrapText="1"/>
    </xf>
    <xf numFmtId="46" fontId="14" fillId="0" borderId="0" applyAlignment="1" pivotButton="0" quotePrefix="0" xfId="0">
      <alignment horizontal="general" vertical="bottom"/>
    </xf>
    <xf numFmtId="46" fontId="0" fillId="2" borderId="1" applyAlignment="1" pivotButton="0" quotePrefix="0" xfId="0">
      <alignment horizontal="general" vertical="bottom"/>
    </xf>
    <xf numFmtId="46" fontId="6" fillId="0" borderId="0" applyAlignment="1" pivotButton="0" quotePrefix="0" xfId="0">
      <alignment horizontal="general" vertical="bottom"/>
    </xf>
    <xf numFmtId="164" fontId="12" fillId="2" borderId="1" applyAlignment="1" pivotButton="0" quotePrefix="0" xfId="0">
      <alignment horizontal="general" vertical="top" wrapText="1"/>
    </xf>
    <xf numFmtId="164" fontId="13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K4" authorId="0" shapeId="0">
      <text>
        <t>Required for every row marked Fail: the matching ID from the Issues log (e.g., I-01).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7" min="1" max="1"/>
    <col width="100" customWidth="1" style="37" min="2" max="2"/>
  </cols>
  <sheetData>
    <row r="1" ht="17.35" customHeight="1" s="38">
      <c r="A1" s="39" t="inlineStr">
        <is>
          <t>QA Checklist: Comparative Accuracy of Improper Payment Estimation Methods</t>
        </is>
      </c>
    </row>
    <row r="2" ht="15" customHeight="1" s="38">
      <c r="A2" s="40" t="inlineStr">
        <is>
          <t>Human reviewer's checklist. Read qa/README.md first.</t>
        </is>
      </c>
    </row>
    <row r="4" ht="35.05" customHeight="1" s="38">
      <c r="A4" s="41" t="inlineStr">
        <is>
          <t>Purpose</t>
        </is>
      </c>
      <c r="B4" s="42" t="inlineStr">
        <is>
          <t>This workbook records everything a human reviewer checks: an independent re-run with date-stamped logs, a code review of every key assumption, and a check that the results are represented correctly. It is the evidence behind the signed sign-off form.</t>
        </is>
      </c>
    </row>
    <row r="5" ht="23.85" customHeight="1" s="38">
      <c r="A5" s="41" t="inlineStr">
        <is>
          <t>Order of work</t>
        </is>
      </c>
      <c r="B5" s="42" t="inlineStr">
        <is>
          <t>1. Reviewer sheet  2. Re-run (Checklist section B) and Run log sheet  3. Code review (section C)  4. Results (section D)  5. Tests, data security, documentation (E-G)  6. Issues log  7. Close-out (section H) and sign-off form.</t>
        </is>
      </c>
    </row>
    <row r="6" ht="23.85" customHeight="1" s="38">
      <c r="A6" s="41" t="inlineStr">
        <is>
          <t>Cells you fill in</t>
        </is>
      </c>
      <c r="B6" s="42" t="inlineStr">
        <is>
          <t>Only the yellow cells. On the Checklist: Status, Date checked, Initials, Evidence, Issue ID and Notes. Grey and blue cells are fixed text or formulas; do not edit them.</t>
        </is>
      </c>
    </row>
    <row r="7" ht="23.85" customHeight="1" s="38">
      <c r="A7" s="41" t="inlineStr">
        <is>
          <t>Status values</t>
        </is>
      </c>
      <c r="B7" s="42" t="inlineStr">
        <is>
          <t>Not started: not yet checked.  Pass: checked and matches the expected result.  Fail: checked and does not match; log it on the Issues log and enter its ID.  N/A: does not apply (explain why in Notes).</t>
        </is>
      </c>
    </row>
    <row r="8" ht="15" customHeight="1" s="38">
      <c r="A8" s="41" t="inlineStr">
        <is>
          <t>Dates</t>
        </is>
      </c>
      <c r="B8" s="42" t="inlineStr">
        <is>
          <t>Enter dates as YYYY-MM-DD (for example 2026-10-21). Date-times on the Run log as YYYY-MM-DD HH:MM.</t>
        </is>
      </c>
    </row>
    <row r="9" ht="23.85" customHeight="1" s="38">
      <c r="A9" s="41" t="inlineStr">
        <is>
          <t>Evidence</t>
        </is>
      </c>
      <c r="B9" s="42" t="inlineStr">
        <is>
          <t>Where the proof is: a file path in your re-run folder (for example logs/run_2026-10-21_093000/stage7_01_pytest.log), a screenshot file name in review/, or a short description.</t>
        </is>
      </c>
    </row>
    <row r="10" ht="23.85" customHeight="1" s="38">
      <c r="A10" s="41" t="inlineStr">
        <is>
          <t>Commands</t>
        </is>
      </c>
      <c r="B10" s="42" t="inlineStr">
        <is>
          <t>Commands are written for macOS and Linux (.venv/bin/python). On Windows, replace .venv/bin/python with .venv\Scripts\python and forward slashes in file paths with backslashes.</t>
        </is>
      </c>
    </row>
    <row r="11" ht="23.85" customHeight="1" s="38">
      <c r="A11" s="41" t="inlineStr">
        <is>
          <t>Wildcards</t>
        </is>
      </c>
      <c r="B11" s="42" t="inlineStr">
        <is>
          <t>In 'Where to look', * means 'any folder or file name here'; for example */errors/sql/*.sql means the errors/sql folder of every program.</t>
        </is>
      </c>
    </row>
    <row r="12" ht="23.85" customHeight="1" s="38">
      <c r="A12" s="41" t="inlineStr">
        <is>
          <t>Example of a completed row</t>
        </is>
      </c>
      <c r="B12" s="42" t="inlineStr">
        <is>
          <t>Status: Pass | Date checked: 2026-10-21 | Initials: JD | Evidence: logs/run_2026-10-21_093000/stage7_01_pytest.log | Issue ID: (blank) | Notes: 38 passed in 89 s.</t>
        </is>
      </c>
    </row>
    <row r="13" ht="23.85" customHeight="1" s="38">
      <c r="A13" s="41" t="inlineStr">
        <is>
          <t>When you finish</t>
        </is>
      </c>
      <c r="B13" s="42" t="inlineStr">
        <is>
          <t>The Summary sheet shows progress and whether the review is ready to sign. Save this file as QA_Checklist_&lt;date&gt;_&lt;initials&gt;.xlsx in qa/reruns/&lt;date&gt;_&lt;initials&gt;/review/.</t>
        </is>
      </c>
    </row>
    <row r="15" ht="15" customHeight="1" s="38">
      <c r="A15" s="43" t="inlineStr">
        <is>
          <t>Legend</t>
        </is>
      </c>
    </row>
    <row r="16" ht="15" customHeight="1" s="38">
      <c r="A16" s="44" t="inlineStr">
        <is>
          <t>Yellow</t>
        </is>
      </c>
      <c r="B16" s="45" t="inlineStr">
        <is>
          <t>You fill this in</t>
        </is>
      </c>
    </row>
    <row r="17" ht="15" customHeight="1" s="38">
      <c r="A17" s="46" t="inlineStr">
        <is>
          <t>Light blue</t>
        </is>
      </c>
      <c r="B17" s="45" t="inlineStr">
        <is>
          <t>Section heading or fixed text</t>
        </is>
      </c>
    </row>
    <row r="18" ht="15" customHeight="1" s="38">
      <c r="A18" s="45" t="inlineStr">
        <is>
          <t>Green / red status</t>
        </is>
      </c>
      <c r="B18" s="45" t="inlineStr">
        <is>
          <t>Pass turns green; Fail turns red automatically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7" min="1" max="1"/>
    <col width="9" customWidth="1" style="37" min="2" max="5"/>
    <col width="12" customWidth="1" style="37" min="6" max="6"/>
    <col width="13" customWidth="1" style="37" min="7" max="7"/>
  </cols>
  <sheetData>
    <row r="1" ht="17.35" customHeight="1" s="38">
      <c r="A1" s="39" t="inlineStr">
        <is>
          <t>Summary</t>
        </is>
      </c>
    </row>
    <row r="2" ht="15" customHeight="1" s="38">
      <c r="A2" s="40" t="inlineStr">
        <is>
          <t>Calculated from the Checklist and Issues log. Nothing to fill in here.</t>
        </is>
      </c>
    </row>
    <row r="4" ht="15" customHeight="1" s="38">
      <c r="A4" s="47" t="inlineStr">
        <is>
          <t>Section</t>
        </is>
      </c>
      <c r="B4" s="47" t="inlineStr">
        <is>
          <t>Tasks</t>
        </is>
      </c>
      <c r="C4" s="47" t="inlineStr">
        <is>
          <t>Pass</t>
        </is>
      </c>
      <c r="D4" s="47" t="inlineStr">
        <is>
          <t>Fail</t>
        </is>
      </c>
      <c r="E4" s="47" t="inlineStr">
        <is>
          <t>N/A</t>
        </is>
      </c>
      <c r="F4" s="47" t="inlineStr">
        <is>
          <t>Not started</t>
        </is>
      </c>
      <c r="G4" s="47" t="inlineStr">
        <is>
          <t>Complete (%)</t>
        </is>
      </c>
    </row>
    <row r="5" ht="15" customHeight="1" s="38">
      <c r="A5" s="48" t="inlineStr">
        <is>
          <t>A. Setup and independence</t>
        </is>
      </c>
      <c r="B5" s="48">
        <f>COUNTIF(Checklist!$B$6:$B$102,"Setup and independence")</f>
        <v/>
      </c>
      <c r="C5" s="48">
        <f>COUNTIFS(Checklist!$B$6:$B$102,"Setup and independence",Checklist!$G$6:$G$102,"Pass")</f>
        <v/>
      </c>
      <c r="D5" s="48">
        <f>COUNTIFS(Checklist!$B$6:$B$102,"Setup and independence",Checklist!$G$6:$G$102,"Fail")</f>
        <v/>
      </c>
      <c r="E5" s="48">
        <f>COUNTIFS(Checklist!$B$6:$B$102,"Setup and independence",Checklist!$G$6:$G$102,"N/A")</f>
        <v/>
      </c>
      <c r="F5" s="48">
        <f>COUNTIFS(Checklist!$B$6:$B$102,"Setup and independence",Checklist!$G$6:$G$102,"Not started")</f>
        <v/>
      </c>
      <c r="G5" s="49">
        <f>IF(B5=0,0,(C5+D5+E5)/B5)</f>
        <v/>
      </c>
    </row>
    <row r="6" ht="15" customHeight="1" s="38">
      <c r="A6" s="48" t="inlineStr">
        <is>
          <t>B. Re-run with date-stamped logs</t>
        </is>
      </c>
      <c r="B6" s="48">
        <f>COUNTIF(Checklist!$B$6:$B$102,"Re-run with date-stamped logs")</f>
        <v/>
      </c>
      <c r="C6" s="48">
        <f>COUNTIFS(Checklist!$B$6:$B$102,"Re-run with date-stamped logs",Checklist!$G$6:$G$102,"Pass")</f>
        <v/>
      </c>
      <c r="D6" s="48">
        <f>COUNTIFS(Checklist!$B$6:$B$102,"Re-run with date-stamped logs",Checklist!$G$6:$G$102,"Fail")</f>
        <v/>
      </c>
      <c r="E6" s="48">
        <f>COUNTIFS(Checklist!$B$6:$B$102,"Re-run with date-stamped logs",Checklist!$G$6:$G$102,"N/A")</f>
        <v/>
      </c>
      <c r="F6" s="48">
        <f>COUNTIFS(Checklist!$B$6:$B$102,"Re-run with date-stamped logs",Checklist!$G$6:$G$102,"Not started")</f>
        <v/>
      </c>
      <c r="G6" s="49">
        <f>IF(B6=0,0,(C6+D6+E6)/B6)</f>
        <v/>
      </c>
    </row>
    <row r="7" ht="15" customHeight="1" s="38">
      <c r="A7" s="48" t="inlineStr">
        <is>
          <t>C. Code review: key assumptions</t>
        </is>
      </c>
      <c r="B7" s="48">
        <f>COUNTIF(Checklist!$B$6:$B$102,"Code review: key assumptions")</f>
        <v/>
      </c>
      <c r="C7" s="48">
        <f>COUNTIFS(Checklist!$B$6:$B$102,"Code review: key assumptions",Checklist!$G$6:$G$102,"Pass")</f>
        <v/>
      </c>
      <c r="D7" s="48">
        <f>COUNTIFS(Checklist!$B$6:$B$102,"Code review: key assumptions",Checklist!$G$6:$G$102,"Fail")</f>
        <v/>
      </c>
      <c r="E7" s="48">
        <f>COUNTIFS(Checklist!$B$6:$B$102,"Code review: key assumptions",Checklist!$G$6:$G$102,"N/A")</f>
        <v/>
      </c>
      <c r="F7" s="48">
        <f>COUNTIFS(Checklist!$B$6:$B$102,"Code review: key assumptions",Checklist!$G$6:$G$102,"Not started")</f>
        <v/>
      </c>
      <c r="G7" s="49">
        <f>IF(B7=0,0,(C7+D7+E7)/B7)</f>
        <v/>
      </c>
    </row>
    <row r="8" ht="15" customHeight="1" s="38">
      <c r="A8" s="48" t="inlineStr">
        <is>
          <t>D. Results: represented correctly</t>
        </is>
      </c>
      <c r="B8" s="48">
        <f>COUNTIF(Checklist!$B$6:$B$102,"Results: represented correctly")</f>
        <v/>
      </c>
      <c r="C8" s="48">
        <f>COUNTIFS(Checklist!$B$6:$B$102,"Results: represented correctly",Checklist!$G$6:$G$102,"Pass")</f>
        <v/>
      </c>
      <c r="D8" s="48">
        <f>COUNTIFS(Checklist!$B$6:$B$102,"Results: represented correctly",Checklist!$G$6:$G$102,"Fail")</f>
        <v/>
      </c>
      <c r="E8" s="48">
        <f>COUNTIFS(Checklist!$B$6:$B$102,"Results: represented correctly",Checklist!$G$6:$G$102,"N/A")</f>
        <v/>
      </c>
      <c r="F8" s="48">
        <f>COUNTIFS(Checklist!$B$6:$B$102,"Results: represented correctly",Checklist!$G$6:$G$102,"Not started")</f>
        <v/>
      </c>
      <c r="G8" s="49">
        <f>IF(B8=0,0,(C8+D8+E8)/B8)</f>
        <v/>
      </c>
    </row>
    <row r="9" ht="15" customHeight="1" s="38">
      <c r="A9" s="48" t="inlineStr">
        <is>
          <t>E. Tests and independent checks</t>
        </is>
      </c>
      <c r="B9" s="48">
        <f>COUNTIF(Checklist!$B$6:$B$102,"Tests and independent checks")</f>
        <v/>
      </c>
      <c r="C9" s="48">
        <f>COUNTIFS(Checklist!$B$6:$B$102,"Tests and independent checks",Checklist!$G$6:$G$102,"Pass")</f>
        <v/>
      </c>
      <c r="D9" s="48">
        <f>COUNTIFS(Checklist!$B$6:$B$102,"Tests and independent checks",Checklist!$G$6:$G$102,"Fail")</f>
        <v/>
      </c>
      <c r="E9" s="48">
        <f>COUNTIFS(Checklist!$B$6:$B$102,"Tests and independent checks",Checklist!$G$6:$G$102,"N/A")</f>
        <v/>
      </c>
      <c r="F9" s="48">
        <f>COUNTIFS(Checklist!$B$6:$B$102,"Tests and independent checks",Checklist!$G$6:$G$102,"Not started")</f>
        <v/>
      </c>
      <c r="G9" s="49">
        <f>IF(B9=0,0,(C9+D9+E9)/B9)</f>
        <v/>
      </c>
    </row>
    <row r="10" ht="15" customHeight="1" s="38">
      <c r="A10" s="48" t="inlineStr">
        <is>
          <t>F. Data security and disclosure</t>
        </is>
      </c>
      <c r="B10" s="48">
        <f>COUNTIF(Checklist!$B$6:$B$102,"Data security and disclosure")</f>
        <v/>
      </c>
      <c r="C10" s="48">
        <f>COUNTIFS(Checklist!$B$6:$B$102,"Data security and disclosure",Checklist!$G$6:$G$102,"Pass")</f>
        <v/>
      </c>
      <c r="D10" s="48">
        <f>COUNTIFS(Checklist!$B$6:$B$102,"Data security and disclosure",Checklist!$G$6:$G$102,"Fail")</f>
        <v/>
      </c>
      <c r="E10" s="48">
        <f>COUNTIFS(Checklist!$B$6:$B$102,"Data security and disclosure",Checklist!$G$6:$G$102,"N/A")</f>
        <v/>
      </c>
      <c r="F10" s="48">
        <f>COUNTIFS(Checklist!$B$6:$B$102,"Data security and disclosure",Checklist!$G$6:$G$102,"Not started")</f>
        <v/>
      </c>
      <c r="G10" s="49">
        <f>IF(B10=0,0,(C10+D10+E10)/B10)</f>
        <v/>
      </c>
    </row>
    <row r="11" ht="15" customHeight="1" s="38">
      <c r="A11" s="48" t="inlineStr">
        <is>
          <t>G. Documentation and reproducibility</t>
        </is>
      </c>
      <c r="B11" s="48">
        <f>COUNTIF(Checklist!$B$6:$B$102,"Documentation and reproducibility")</f>
        <v/>
      </c>
      <c r="C11" s="48">
        <f>COUNTIFS(Checklist!$B$6:$B$102,"Documentation and reproducibility",Checklist!$G$6:$G$102,"Pass")</f>
        <v/>
      </c>
      <c r="D11" s="48">
        <f>COUNTIFS(Checklist!$B$6:$B$102,"Documentation and reproducibility",Checklist!$G$6:$G$102,"Fail")</f>
        <v/>
      </c>
      <c r="E11" s="48">
        <f>COUNTIFS(Checklist!$B$6:$B$102,"Documentation and reproducibility",Checklist!$G$6:$G$102,"N/A")</f>
        <v/>
      </c>
      <c r="F11" s="48">
        <f>COUNTIFS(Checklist!$B$6:$B$102,"Documentation and reproducibility",Checklist!$G$6:$G$102,"Not started")</f>
        <v/>
      </c>
      <c r="G11" s="49">
        <f>IF(B11=0,0,(C11+D11+E11)/B11)</f>
        <v/>
      </c>
    </row>
    <row r="12" ht="15" customHeight="1" s="38">
      <c r="A12" s="48" t="inlineStr">
        <is>
          <t>H. Close-out and sign-off</t>
        </is>
      </c>
      <c r="B12" s="48">
        <f>COUNTIF(Checklist!$B$6:$B$102,"Close-out and sign-off")</f>
        <v/>
      </c>
      <c r="C12" s="48">
        <f>COUNTIFS(Checklist!$B$6:$B$102,"Close-out and sign-off",Checklist!$G$6:$G$102,"Pass")</f>
        <v/>
      </c>
      <c r="D12" s="48">
        <f>COUNTIFS(Checklist!$B$6:$B$102,"Close-out and sign-off",Checklist!$G$6:$G$102,"Fail")</f>
        <v/>
      </c>
      <c r="E12" s="48">
        <f>COUNTIFS(Checklist!$B$6:$B$102,"Close-out and sign-off",Checklist!$G$6:$G$102,"N/A")</f>
        <v/>
      </c>
      <c r="F12" s="48">
        <f>COUNTIFS(Checklist!$B$6:$B$102,"Close-out and sign-off",Checklist!$G$6:$G$102,"Not started")</f>
        <v/>
      </c>
      <c r="G12" s="49">
        <f>IF(B12=0,0,(C12+D12+E12)/B12)</f>
        <v/>
      </c>
    </row>
    <row r="13" ht="15" customHeight="1" s="38">
      <c r="A13" s="43" t="inlineStr">
        <is>
          <t>All sections</t>
        </is>
      </c>
      <c r="B13" s="43">
        <f>SUM(B5:B12)</f>
        <v/>
      </c>
      <c r="C13" s="43">
        <f>SUM(C5:C12)</f>
        <v/>
      </c>
      <c r="D13" s="43">
        <f>SUM(D5:D12)</f>
        <v/>
      </c>
      <c r="E13" s="43">
        <f>SUM(E5:E12)</f>
        <v/>
      </c>
      <c r="F13" s="43">
        <f>SUM(F5:F12)</f>
        <v/>
      </c>
      <c r="G13" s="50">
        <f>IF(B13=0,0,(C13+D13+E13)/B13)</f>
        <v/>
      </c>
    </row>
    <row r="15" ht="15" customHeight="1" s="38">
      <c r="A15" s="51" t="inlineStr">
        <is>
          <t>Issues (rows whose ID contains EXAMPLE are not counted)</t>
        </is>
      </c>
    </row>
    <row r="16" ht="15" customHeight="1" s="38">
      <c r="A16" s="47" t="inlineStr">
        <is>
          <t>Severity</t>
        </is>
      </c>
      <c r="B16" s="47" t="inlineStr">
        <is>
          <t>Total</t>
        </is>
      </c>
      <c r="C16" s="47" t="inlineStr">
        <is>
          <t>Open</t>
        </is>
      </c>
      <c r="D16" s="47" t="inlineStr">
        <is>
          <t>Resolved</t>
        </is>
      </c>
      <c r="E16" s="47" t="inlineStr">
        <is>
          <t>Accepted</t>
        </is>
      </c>
    </row>
    <row r="17" ht="15" customHeight="1" s="38">
      <c r="A17" s="45" t="inlineStr">
        <is>
          <t>Critical</t>
        </is>
      </c>
      <c r="B17" s="45">
        <f>COUNTIFS('Issues log'!$D$5:$D$39,"Critical",'Issues log'!$A$5:$A$39,"&lt;&gt;*EXAMPLE*")</f>
        <v/>
      </c>
      <c r="C17" s="45">
        <f>COUNTIFS('Issues log'!$D$5:$D$39,"Critical",'Issues log'!$H$5:$H$39,"Open",'Issues log'!$A$5:$A$39,"&lt;&gt;*EXAMPLE*")</f>
        <v/>
      </c>
      <c r="D17" s="45">
        <f>COUNTIFS('Issues log'!$D$5:$D$39,"Critical",'Issues log'!$H$5:$H$39,"Resolved",'Issues log'!$A$5:$A$39,"&lt;&gt;*EXAMPLE*")</f>
        <v/>
      </c>
      <c r="E17" s="45">
        <f>COUNTIFS('Issues log'!$D$5:$D$39,"Critical",'Issues log'!$H$5:$H$39,"Accepted",'Issues log'!$A$5:$A$39,"&lt;&gt;*EXAMPLE*")</f>
        <v/>
      </c>
    </row>
    <row r="18" ht="15" customHeight="1" s="38">
      <c r="A18" s="45" t="inlineStr">
        <is>
          <t>Major</t>
        </is>
      </c>
      <c r="B18" s="45">
        <f>COUNTIFS('Issues log'!$D$5:$D$39,"Major",'Issues log'!$A$5:$A$39,"&lt;&gt;*EXAMPLE*")</f>
        <v/>
      </c>
      <c r="C18" s="45">
        <f>COUNTIFS('Issues log'!$D$5:$D$39,"Major",'Issues log'!$H$5:$H$39,"Open",'Issues log'!$A$5:$A$39,"&lt;&gt;*EXAMPLE*")</f>
        <v/>
      </c>
      <c r="D18" s="45">
        <f>COUNTIFS('Issues log'!$D$5:$D$39,"Major",'Issues log'!$H$5:$H$39,"Resolved",'Issues log'!$A$5:$A$39,"&lt;&gt;*EXAMPLE*")</f>
        <v/>
      </c>
      <c r="E18" s="45">
        <f>COUNTIFS('Issues log'!$D$5:$D$39,"Major",'Issues log'!$H$5:$H$39,"Accepted",'Issues log'!$A$5:$A$39,"&lt;&gt;*EXAMPLE*")</f>
        <v/>
      </c>
    </row>
    <row r="19" ht="15" customHeight="1" s="38">
      <c r="A19" s="45" t="inlineStr">
        <is>
          <t>Minor</t>
        </is>
      </c>
      <c r="B19" s="45">
        <f>COUNTIFS('Issues log'!$D$5:$D$39,"Minor",'Issues log'!$A$5:$A$39,"&lt;&gt;*EXAMPLE*")</f>
        <v/>
      </c>
      <c r="C19" s="45">
        <f>COUNTIFS('Issues log'!$D$5:$D$39,"Minor",'Issues log'!$H$5:$H$39,"Open",'Issues log'!$A$5:$A$39,"&lt;&gt;*EXAMPLE*")</f>
        <v/>
      </c>
      <c r="D19" s="45">
        <f>COUNTIFS('Issues log'!$D$5:$D$39,"Minor",'Issues log'!$H$5:$H$39,"Resolved",'Issues log'!$A$5:$A$39,"&lt;&gt;*EXAMPLE*")</f>
        <v/>
      </c>
      <c r="E19" s="45">
        <f>COUNTIFS('Issues log'!$D$5:$D$39,"Minor",'Issues log'!$H$5:$H$39,"Accepted",'Issues log'!$A$5:$A$39,"&lt;&gt;*EXAMPLE*")</f>
        <v/>
      </c>
    </row>
    <row r="20" ht="15" customHeight="1" s="38">
      <c r="A20" s="45" t="inlineStr">
        <is>
          <t>Note</t>
        </is>
      </c>
      <c r="B20" s="45">
        <f>COUNTIFS('Issues log'!$D$5:$D$39,"Note",'Issues log'!$A$5:$A$39,"&lt;&gt;*EXAMPLE*")</f>
        <v/>
      </c>
      <c r="C20" s="45">
        <f>COUNTIFS('Issues log'!$D$5:$D$39,"Note",'Issues log'!$H$5:$H$39,"Open",'Issues log'!$A$5:$A$39,"&lt;&gt;*EXAMPLE*")</f>
        <v/>
      </c>
      <c r="D20" s="45">
        <f>COUNTIFS('Issues log'!$D$5:$D$39,"Note",'Issues log'!$H$5:$H$39,"Resolved",'Issues log'!$A$5:$A$39,"&lt;&gt;*EXAMPLE*")</f>
        <v/>
      </c>
      <c r="E20" s="45">
        <f>COUNTIFS('Issues log'!$D$5:$D$39,"Note",'Issues log'!$H$5:$H$39,"Accepted",'Issues log'!$A$5:$A$39,"&lt;&gt;*EXAMPLE*")</f>
        <v/>
      </c>
    </row>
    <row r="22" ht="15" customHeight="1" s="38">
      <c r="A22" s="45" t="inlineStr">
        <is>
          <t>Fail rows without an Issue ID</t>
        </is>
      </c>
      <c r="B22" s="45">
        <f>COUNTIFS(Checklist!$G$6:$G$102,"Fail",Checklist!$K$6:$K$102,"")</f>
        <v/>
      </c>
    </row>
    <row r="24" ht="15" customHeight="1" s="38">
      <c r="A24" s="52" t="inlineStr">
        <is>
          <t>READY TO SIGN?</t>
        </is>
      </c>
      <c r="B24" s="52">
        <f>IF(AND(F13=0,C17=0,C18=0,B22=0),"YES: every task checked; no open Critical or Major issues","NOT YET: "&amp;F13&amp;" task(s) not started, "&amp;(C17+C18)&amp;" open Critical/Major issue(s), "&amp;B22&amp;" Fail row(s) without an Issue ID")</f>
        <v/>
      </c>
    </row>
    <row r="25" ht="15" customHeight="1" s="38">
      <c r="A25" s="40" t="inlineStr">
        <is>
          <t>A Fail row does not by itself block sign-off if its issue is Resolved or Accepted.</t>
        </is>
      </c>
    </row>
  </sheetData>
  <mergeCells count="1">
    <mergeCell ref="B24:G24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C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37" min="1" max="1"/>
    <col width="60" customWidth="1" style="37" min="2" max="3"/>
  </cols>
  <sheetData>
    <row r="1" ht="17.35" customHeight="1" s="38">
      <c r="A1" s="39" t="inlineStr">
        <is>
          <t>Reviewer and environment</t>
        </is>
      </c>
    </row>
    <row r="2" ht="15" customHeight="1" s="38">
      <c r="A2" s="40" t="inlineStr">
        <is>
          <t>Fill in every yellow cell. Copy computer and software details from environment.txt in your run folder.</t>
        </is>
      </c>
    </row>
    <row r="3" ht="15" customHeight="1" s="38">
      <c r="A3" s="53" t="inlineStr">
        <is>
          <t>Item</t>
        </is>
      </c>
      <c r="B3" s="53" t="inlineStr">
        <is>
          <t>Your entry</t>
        </is>
      </c>
      <c r="C3" s="53" t="inlineStr">
        <is>
          <t>Guidance</t>
        </is>
      </c>
    </row>
    <row r="4" ht="15" customHeight="1" s="38">
      <c r="A4" s="54" t="inlineStr">
        <is>
          <t>REVIEWER</t>
        </is>
      </c>
      <c r="B4" s="46" t="n"/>
      <c r="C4" s="46" t="n"/>
    </row>
    <row r="5" ht="15" customHeight="1" s="38">
      <c r="A5" s="42" t="inlineStr">
        <is>
          <t>Full name</t>
        </is>
      </c>
      <c r="B5" s="55" t="inlineStr">
        <is>
          <t>Claude (Anthropic) — AI reviewer; findings to be confirmed by a human signatory</t>
        </is>
      </c>
      <c r="C5" s="56" t="n"/>
    </row>
    <row r="6" ht="15" customHeight="1" s="38">
      <c r="A6" s="42" t="inlineStr">
        <is>
          <t>Initials (used in the re-run folder name)</t>
        </is>
      </c>
      <c r="B6" s="55" t="inlineStr">
        <is>
          <t>Claude</t>
        </is>
      </c>
      <c r="C6" s="56" t="n"/>
    </row>
    <row r="7" ht="15" customHeight="1" s="38">
      <c r="A7" s="42" t="inlineStr">
        <is>
          <t>Title / role</t>
        </is>
      </c>
      <c r="B7" s="55" t="inlineStr">
        <is>
          <t>Independent reviewer (health economics / survey statistics)</t>
        </is>
      </c>
      <c r="C7" s="56" t="n"/>
    </row>
    <row r="8" ht="15" customHeight="1" s="38">
      <c r="A8" s="42" t="inlineStr">
        <is>
          <t>Organization</t>
        </is>
      </c>
      <c r="B8" s="55" t="inlineStr">
        <is>
          <t>Anthropic (Claude), engaged by the study author</t>
        </is>
      </c>
      <c r="C8" s="56" t="n"/>
    </row>
    <row r="9" ht="15" customHeight="1" s="38">
      <c r="A9" s="42" t="inlineStr">
        <is>
          <t>Email</t>
        </is>
      </c>
      <c r="B9" s="55" t="inlineStr">
        <is>
          <t>n/a</t>
        </is>
      </c>
      <c r="C9" s="56" t="n"/>
    </row>
    <row r="10" ht="23.85" customHeight="1" s="38">
      <c r="A10" s="42" t="inlineStr">
        <is>
          <t>Relationship to the study or its authors</t>
        </is>
      </c>
      <c r="B10" s="55" t="inlineStr">
        <is>
          <t>None. Did not write any code, data or text in the version reviewed.</t>
        </is>
      </c>
      <c r="C10" s="56" t="inlineStr">
        <is>
          <t>For example: none; colleague; co-author. Disclose any role in writing the code or text.</t>
        </is>
      </c>
    </row>
    <row r="11" ht="15" customHeight="1" s="38">
      <c r="A11" s="42" t="inlineStr">
        <is>
          <t>Independent of the study's development? (Yes/No)</t>
        </is>
      </c>
      <c r="B11" s="55" t="inlineStr">
        <is>
          <t>Yes</t>
        </is>
      </c>
      <c r="C11" s="56" t="n"/>
    </row>
    <row r="12" ht="15" customHeight="1" s="38">
      <c r="A12" s="54" t="inlineStr">
        <is>
          <t>REVIEW</t>
        </is>
      </c>
      <c r="B12" s="46" t="n"/>
      <c r="C12" s="46" t="n"/>
    </row>
    <row r="13" ht="15" customHeight="1" s="38">
      <c r="A13" s="42" t="inlineStr">
        <is>
          <t>Review start date (YYYY-MM-DD)</t>
        </is>
      </c>
      <c r="B13" s="55" t="inlineStr">
        <is>
          <t>2026-10-21</t>
        </is>
      </c>
      <c r="C13" s="56" t="n"/>
    </row>
    <row r="14" ht="15" customHeight="1" s="38">
      <c r="A14" s="42" t="inlineStr">
        <is>
          <t>Review end date (YYYY-MM-DD)</t>
        </is>
      </c>
      <c r="B14" s="55" t="inlineStr">
        <is>
          <t>2026-10-21</t>
        </is>
      </c>
      <c r="C14" s="56" t="n"/>
    </row>
    <row r="15" ht="23.85" customHeight="1" s="38">
      <c r="A15" s="42" t="inlineStr">
        <is>
          <t>Project version reviewed (Git commit ID, or ZIP download date)</t>
        </is>
      </c>
      <c r="B15" s="55" t="inlineStr">
        <is>
          <t>33c6c47068df10f5f7cb56c8bf3c00cdd210a50d</t>
        </is>
      </c>
      <c r="C15" s="56" t="inlineStr">
        <is>
          <t>From environment.txt, 'Project version'</t>
        </is>
      </c>
    </row>
    <row r="16" ht="23.85" customHeight="1" s="38">
      <c r="A16" s="42" t="inlineStr">
        <is>
          <t>How the project was obtained (Git clone / ZIP download)</t>
        </is>
      </c>
      <c r="B16" s="55" t="inlineStr">
        <is>
          <t>Git clone (depth 1) into an empty folder</t>
        </is>
      </c>
      <c r="C16" s="56" t="n"/>
    </row>
    <row r="17" ht="15" customHeight="1" s="38">
      <c r="A17" s="42" t="inlineStr">
        <is>
          <t>Re-run folder (qa/reruns/...)</t>
        </is>
      </c>
      <c r="B17" s="55" t="inlineStr">
        <is>
          <t>qa/Claude (collected by collect_rerun.py as qa/reruns/2026-10-21_CLAUDE and moved per the author's instruction)</t>
        </is>
      </c>
      <c r="C17" s="56" t="inlineStr">
        <is>
          <t>For example qa/reruns/2026-10-21_JD</t>
        </is>
      </c>
    </row>
    <row r="18" ht="23.85" customHeight="1" s="38">
      <c r="A18" s="54" t="inlineStr">
        <is>
          <t>COMPUTER AND SOFTWARE (from environment.txt)</t>
        </is>
      </c>
      <c r="B18" s="46" t="n"/>
      <c r="C18" s="46" t="n"/>
    </row>
    <row r="19" ht="23.85" customHeight="1" s="38">
      <c r="A19" s="42" t="inlineStr">
        <is>
          <t>Computer (make/model, or 'personal laptop', 'work desktop')</t>
        </is>
      </c>
      <c r="B19" s="55" t="inlineStr">
        <is>
          <t>Linux cloud VM (2 vCPU, 7.8 GB)</t>
        </is>
      </c>
      <c r="C19" s="56" t="n"/>
    </row>
    <row r="20" ht="15" customHeight="1" s="38">
      <c r="A20" s="42" t="inlineStr">
        <is>
          <t>Operating system and version</t>
        </is>
      </c>
      <c r="B20" s="55" t="inlineStr">
        <is>
          <t>Linux 6.18.44-fc-v139 x86_64, glibc 2.39</t>
        </is>
      </c>
      <c r="C20" s="56" t="n"/>
    </row>
    <row r="21" ht="15" customHeight="1" s="38">
      <c r="A21" s="42" t="inlineStr">
        <is>
          <t>Processor cores</t>
        </is>
      </c>
      <c r="B21" s="55" t="n">
        <v>2</v>
      </c>
      <c r="C21" s="56" t="n"/>
    </row>
    <row r="22" ht="15" customHeight="1" s="38">
      <c r="A22" s="42" t="inlineStr">
        <is>
          <t>Memory (GB)</t>
        </is>
      </c>
      <c r="B22" s="55" t="n">
        <v>7.8</v>
      </c>
      <c r="C22" s="56" t="n"/>
    </row>
    <row r="23" ht="15" customHeight="1" s="38">
      <c r="A23" s="42" t="inlineStr">
        <is>
          <t>Python version</t>
        </is>
      </c>
      <c r="B23" s="55" t="inlineStr">
        <is>
          <t>3.13.16</t>
        </is>
      </c>
      <c r="C23" s="56" t="n"/>
    </row>
    <row r="24" ht="15" customHeight="1" s="38">
      <c r="A24" s="42" t="inlineStr">
        <is>
          <t>DuckDB version (must be 1.5.6)</t>
        </is>
      </c>
      <c r="B24" s="55" t="inlineStr">
        <is>
          <t>1.5.6</t>
        </is>
      </c>
      <c r="C24" s="56" t="n"/>
    </row>
    <row r="25" ht="15" customHeight="1" s="38">
      <c r="A25" s="42" t="inlineStr">
        <is>
          <t>numpy / numba / pyarrow / scipy versions</t>
        </is>
      </c>
      <c r="B25" s="55" t="inlineStr">
        <is>
          <t>2.5.4 / 0.68.0 / 26.0.0 / 1.18.1 (pandas 3.0.6, matplotlib 3.11.2, pytest 9.1.1)</t>
        </is>
      </c>
      <c r="C25" s="56" t="n"/>
    </row>
    <row r="26" ht="15" customHeight="1" s="38">
      <c r="A26" s="54" t="inlineStr">
        <is>
          <t>TOOLS USED FOR THE REVIEW</t>
        </is>
      </c>
      <c r="B26" s="46" t="n"/>
      <c r="C26" s="46" t="n"/>
    </row>
    <row r="27" ht="23.85" customHeight="1" s="38">
      <c r="A27" s="42" t="inlineStr">
        <is>
          <t>Spreadsheet software (e.g., Microsoft Excel 365, version)</t>
        </is>
      </c>
      <c r="B27" s="55" t="inlineStr">
        <is>
          <t>openpyxl 3.x (workbook filled programmatically)</t>
        </is>
      </c>
      <c r="C27" s="56" t="n"/>
    </row>
    <row r="28" ht="23.85" customHeight="1" s="38">
      <c r="A28" s="42" t="inlineStr">
        <is>
          <t>Text editor or code viewer (e.g., VS Code, GitHub website)</t>
        </is>
      </c>
      <c r="B28" s="55" t="inlineStr">
        <is>
          <t>Direct file reads (Read tool) and ripgrep</t>
        </is>
      </c>
      <c r="C28" s="56" t="n"/>
    </row>
    <row r="29" ht="15" customHeight="1" s="38">
      <c r="A29" s="42" t="inlineStr">
        <is>
          <t>Terminal (e.g., PowerShell, macOS Terminal)</t>
        </is>
      </c>
      <c r="B29" s="55" t="inlineStr">
        <is>
          <t>bash</t>
        </is>
      </c>
      <c r="C29" s="56" t="n"/>
    </row>
    <row r="30" ht="15" customHeight="1" s="38">
      <c r="A30" s="42" t="inlineStr">
        <is>
          <t>PDF / Word viewer</t>
        </is>
      </c>
      <c r="B30" s="55" t="inlineStr">
        <is>
          <t>Markdown sources read directly; PDFs not opened</t>
        </is>
      </c>
      <c r="C30" s="56" t="n"/>
    </row>
    <row r="31" ht="15" customHeight="1" s="38">
      <c r="A31" s="42" t="inlineStr">
        <is>
          <t>Other tools (e.g., Git, R, calculator)</t>
        </is>
      </c>
      <c r="B31" s="55" t="inlineStr">
        <is>
          <t>git, Python/numpy/duckdb standalone verification scripts (review/scripts/), web search for citation verification</t>
        </is>
      </c>
      <c r="C31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L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37" min="1" max="1"/>
    <col width="22" customWidth="1" style="37" min="2" max="2"/>
    <col width="38" customWidth="1" style="37" min="3" max="3"/>
    <col width="60" customWidth="1" style="37" min="4" max="4"/>
    <col width="44" customWidth="1" style="37" min="5" max="5"/>
    <col width="36" customWidth="1" style="37" min="6" max="6"/>
    <col width="13" customWidth="1" style="37" min="7" max="8"/>
    <col width="9" customWidth="1" style="37" min="9" max="9"/>
    <col width="36" customWidth="1" style="37" min="10" max="10"/>
    <col width="10" customWidth="1" style="37" min="11" max="11"/>
    <col width="36" customWidth="1" style="37" min="12" max="12"/>
  </cols>
  <sheetData>
    <row r="1" ht="17.35" customHeight="1" s="38">
      <c r="A1" s="39" t="inlineStr">
        <is>
          <t>Checklist</t>
        </is>
      </c>
    </row>
    <row r="2" ht="15" customHeight="1" s="38">
      <c r="A2" s="40" t="inlineStr">
        <is>
          <t>One row per task. Fill in the yellow columns. Fail rows need an Issue ID from the Issues log.</t>
        </is>
      </c>
    </row>
    <row r="4" ht="23.85" customHeight="1" s="38">
      <c r="A4" s="47" t="inlineStr">
        <is>
          <t>ID</t>
        </is>
      </c>
      <c r="B4" s="47" t="inlineStr">
        <is>
          <t>Section</t>
        </is>
      </c>
      <c r="C4" s="47" t="inlineStr">
        <is>
          <t>Task</t>
        </is>
      </c>
      <c r="D4" s="47" t="inlineStr">
        <is>
          <t>How to check</t>
        </is>
      </c>
      <c r="E4" s="47" t="inlineStr">
        <is>
          <t>Where to look</t>
        </is>
      </c>
      <c r="F4" s="47" t="inlineStr">
        <is>
          <t>Expected result</t>
        </is>
      </c>
      <c r="G4" s="47" t="inlineStr">
        <is>
          <t>Status</t>
        </is>
      </c>
      <c r="H4" s="47" t="inlineStr">
        <is>
          <t>Date checked</t>
        </is>
      </c>
      <c r="I4" s="47" t="inlineStr">
        <is>
          <t>Initials</t>
        </is>
      </c>
      <c r="J4" s="47" t="inlineStr">
        <is>
          <t>Evidence (file, screenshot, or description)</t>
        </is>
      </c>
      <c r="K4" s="47" t="inlineStr">
        <is>
          <t>Issue ID</t>
        </is>
      </c>
      <c r="L4" s="47" t="inlineStr">
        <is>
          <t>Notes</t>
        </is>
      </c>
    </row>
    <row r="5" ht="15" customHeight="1" s="38">
      <c r="A5" s="57" t="inlineStr">
        <is>
          <t>A. Setup and independence</t>
        </is>
      </c>
      <c r="B5" s="46" t="n"/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</row>
    <row r="6" ht="23.85" customHeight="1" s="38">
      <c r="A6" s="58" t="inlineStr">
        <is>
          <t>A1</t>
        </is>
      </c>
      <c r="B6" s="58" t="inlineStr">
        <is>
          <t>Setup and independence</t>
        </is>
      </c>
      <c r="C6" s="58" t="inlineStr">
        <is>
          <t>Record who you are and your relationship to the study</t>
        </is>
      </c>
      <c r="D6" s="58" t="inlineStr">
        <is>
          <t>Fill in the Reviewer sheet. State whether you contributed to the study's code, data, or writing.</t>
        </is>
      </c>
      <c r="E6" s="58" t="inlineStr">
        <is>
          <t>Reviewer sheet</t>
        </is>
      </c>
      <c r="F6" s="58" t="inlineStr">
        <is>
          <t>Reviewer sheet complete; any relationship to the authors disclosed</t>
        </is>
      </c>
      <c r="G6" s="59" t="inlineStr">
        <is>
          <t>Pass</t>
        </is>
      </c>
      <c r="H6" s="60" t="inlineStr">
        <is>
          <t>2026-10-21</t>
        </is>
      </c>
      <c r="I6" s="59" t="inlineStr">
        <is>
          <t>Claude</t>
        </is>
      </c>
      <c r="J6" s="59" t="inlineStr">
        <is>
          <t>qa/Claude (see RERUN_SUMMARY.md, verification/, review/PEER_REVIEW.md)</t>
        </is>
      </c>
      <c r="K6" s="59" t="n"/>
      <c r="L6" s="59" t="inlineStr">
        <is>
          <t>AI reviewer; a human signatory should countersign the attestation.</t>
        </is>
      </c>
    </row>
    <row r="7" ht="23.85" customHeight="1" s="38">
      <c r="A7" s="58" t="inlineStr">
        <is>
          <t>A2</t>
        </is>
      </c>
      <c r="B7" s="58" t="inlineStr">
        <is>
          <t>Setup and independence</t>
        </is>
      </c>
      <c r="C7" s="58" t="inlineStr">
        <is>
          <t>Use a fresh copy of the project</t>
        </is>
      </c>
      <c r="D7" s="58" t="inlineStr">
        <is>
          <t>Download the project from GitHub (ZIP or git clone) into a new, empty folder. Do not use the author's computer or an existing copy.</t>
        </is>
      </c>
      <c r="E7" s="58" t="inlineStr">
        <is>
          <t>start-here/README.md, step 3</t>
        </is>
      </c>
      <c r="F7" s="58" t="inlineStr">
        <is>
          <t>A new project folder on your own computer</t>
        </is>
      </c>
      <c r="G7" s="59" t="inlineStr">
        <is>
          <t>Pass</t>
        </is>
      </c>
      <c r="H7" s="60" t="inlineStr">
        <is>
          <t>2026-10-21</t>
        </is>
      </c>
      <c r="I7" s="59" t="inlineStr">
        <is>
          <t>Claude</t>
        </is>
      </c>
      <c r="J7" s="59" t="inlineStr">
        <is>
          <t>qa/Claude (see RERUN_SUMMARY.md, verification/, review/PEER_REVIEW.md)</t>
        </is>
      </c>
      <c r="K7" s="59" t="n"/>
      <c r="L7" s="59" t="inlineStr">
        <is>
          <t>git clone --depth 1 into an empty folder (scratchpad/repo).</t>
        </is>
      </c>
    </row>
    <row r="8" ht="35.05" customHeight="1" s="38">
      <c r="A8" s="58" t="inlineStr">
        <is>
          <t>A3</t>
        </is>
      </c>
      <c r="B8" s="58" t="inlineStr">
        <is>
          <t>Setup and independence</t>
        </is>
      </c>
      <c r="C8" s="58" t="inlineStr">
        <is>
          <t>Record the project version you are reviewing</t>
        </is>
      </c>
      <c r="D8" s="58" t="inlineStr">
        <is>
          <t>Git: run  git rev-parse HEAD  in the project folder. ZIP: record the download date and time. The re-run also records it in environment.txt ('Project version').</t>
        </is>
      </c>
      <c r="E8" s="58" t="inlineStr">
        <is>
          <t>Reviewer sheet; start-here/logs/run_*/environment.txt</t>
        </is>
      </c>
      <c r="F8" s="58" t="inlineStr">
        <is>
          <t>Commit ID (or ZIP download date) recorded</t>
        </is>
      </c>
      <c r="G8" s="59" t="inlineStr">
        <is>
          <t>Pass</t>
        </is>
      </c>
      <c r="H8" s="60" t="inlineStr">
        <is>
          <t>2026-10-21</t>
        </is>
      </c>
      <c r="I8" s="59" t="inlineStr">
        <is>
          <t>Claude</t>
        </is>
      </c>
      <c r="J8" s="59" t="inlineStr">
        <is>
          <t>qa/Claude (see RERUN_SUMMARY.md, verification/, review/PEER_REVIEW.md)</t>
        </is>
      </c>
      <c r="K8" s="59" t="n"/>
      <c r="L8" s="59" t="inlineStr">
        <is>
          <t>33c6c47068df10f5f7cb56c8bf3c00cdd210a50d (merge of PR #28).</t>
        </is>
      </c>
    </row>
    <row r="9" ht="23.85" customHeight="1" s="38">
      <c r="A9" s="58" t="inlineStr">
        <is>
          <t>A4</t>
        </is>
      </c>
      <c r="B9" s="58" t="inlineStr">
        <is>
          <t>Setup and independence</t>
        </is>
      </c>
      <c r="C9" s="58" t="inlineStr">
        <is>
          <t>Install the software exactly as instructed</t>
        </is>
      </c>
      <c r="D9" s="58" t="inlineStr">
        <is>
          <t>Follow start-here/README.md steps 1 to 5 without changes. Note any step you had to change or that was unclear.</t>
        </is>
      </c>
      <c r="E9" s="58" t="inlineStr">
        <is>
          <t>start-here/README.md, steps 1-5</t>
        </is>
      </c>
      <c r="F9" s="58" t="inlineStr">
        <is>
          <t>Setup ends with 'Successfully installed'; deviations noted</t>
        </is>
      </c>
      <c r="G9" s="59" t="inlineStr">
        <is>
          <t>Pass</t>
        </is>
      </c>
      <c r="H9" s="60" t="inlineStr">
        <is>
          <t>2026-10-21</t>
        </is>
      </c>
      <c r="I9" s="59" t="inlineStr">
        <is>
          <t>Claude</t>
        </is>
      </c>
      <c r="J9" s="59" t="inlineStr">
        <is>
          <t>qa/Claude (see RERUN_SUMMARY.md, verification/, review/PEER_REVIEW.md)</t>
        </is>
      </c>
      <c r="K9" s="59" t="n"/>
      <c r="L9" s="59" t="inlineStr">
        <is>
          <t>Followed steps 1-5 as written; no deviations. One pip "new release available" notice.</t>
        </is>
      </c>
    </row>
    <row r="10" ht="23.85" customHeight="1" s="38">
      <c r="A10" s="58" t="inlineStr">
        <is>
          <t>A5</t>
        </is>
      </c>
      <c r="B10" s="58" t="inlineStr">
        <is>
          <t>Setup and independence</t>
        </is>
      </c>
      <c r="C10" s="58" t="inlineStr">
        <is>
          <t>Confirm the pinned DuckDB version</t>
        </is>
      </c>
      <c r="D10" s="58" t="inlineStr">
        <is>
          <t>Run  .venv/bin/python -c "import duckdb; print(duckdb.__version__)"</t>
        </is>
      </c>
      <c r="E10" s="58" t="inlineStr">
        <is>
          <t>pyproject.toml; requirements.txt</t>
        </is>
      </c>
      <c r="F10" s="58" t="inlineStr">
        <is>
          <t>1.5.6 (random draws depend on this version)</t>
        </is>
      </c>
      <c r="G10" s="59" t="inlineStr">
        <is>
          <t>Pass</t>
        </is>
      </c>
      <c r="H10" s="60" t="inlineStr">
        <is>
          <t>2026-10-21</t>
        </is>
      </c>
      <c r="I10" s="59" t="inlineStr">
        <is>
          <t>Claude</t>
        </is>
      </c>
      <c r="J10" s="59" t="inlineStr">
        <is>
          <t>qa/Claude (see RERUN_SUMMARY.md, verification/, review/PEER_REVIEW.md)</t>
        </is>
      </c>
      <c r="K10" s="59" t="n"/>
      <c r="L10" s="59" t="inlineStr">
        <is>
          <t>1.5.6</t>
        </is>
      </c>
    </row>
    <row r="11" ht="15" customHeight="1" s="38">
      <c r="A11" s="57" t="inlineStr">
        <is>
          <t>B. Re-run with date-stamped logs</t>
        </is>
      </c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</row>
    <row r="12" ht="23.85" customHeight="1" s="38">
      <c r="A12" s="58" t="inlineStr">
        <is>
          <t>B1</t>
        </is>
      </c>
      <c r="B12" s="58" t="inlineStr">
        <is>
          <t>Re-run with date-stamped logs</t>
        </is>
      </c>
      <c r="C12" s="58" t="inlineStr">
        <is>
          <t>Run the quick trial</t>
        </is>
      </c>
      <c r="D12" s="58" t="inlineStr">
        <is>
          <t>Run  .venv/bin/python start-here/run_all.py --quick  and record the log folder name.</t>
        </is>
      </c>
      <c r="E12" s="58" t="inlineStr">
        <is>
          <t>start-here/logs/run_&lt;date&gt;_&lt;time&gt;_quick/</t>
        </is>
      </c>
      <c r="F12" s="58" t="inlineStr">
        <is>
          <t>Ends with 'Your setup works.'</t>
        </is>
      </c>
      <c r="G12" s="59" t="inlineStr">
        <is>
          <t>Pass</t>
        </is>
      </c>
      <c r="H12" s="60" t="inlineStr">
        <is>
          <t>2026-10-21</t>
        </is>
      </c>
      <c r="I12" s="59" t="inlineStr">
        <is>
          <t>Claude</t>
        </is>
      </c>
      <c r="J12" s="59" t="inlineStr">
        <is>
          <t>qa/Claude (see RERUN_SUMMARY.md, verification/, review/PEER_REVIEW.md)</t>
        </is>
      </c>
      <c r="K12" s="59" t="n"/>
      <c r="L12" s="59" t="inlineStr">
        <is>
          <t>logs/run_2026-10-21_145457_quick: ends "Your setup works." (2m 28s).</t>
        </is>
      </c>
    </row>
    <row r="13" ht="23.85" customHeight="1" s="38">
      <c r="A13" s="58" t="inlineStr">
        <is>
          <t>B2</t>
        </is>
      </c>
      <c r="B13" s="58" t="inlineStr">
        <is>
          <t>Re-run with date-stamped logs</t>
        </is>
      </c>
      <c r="C13" s="58" t="inlineStr">
        <is>
          <t>Start the full replication and record the start date and time</t>
        </is>
      </c>
      <c r="D13" s="58" t="inlineStr">
        <is>
          <t>Run  .venv/bin/python start-here/run_all.py . Record the start time on the Run log sheet.</t>
        </is>
      </c>
      <c r="E13" s="58" t="inlineStr">
        <is>
          <t>start-here/logs/run_&lt;date&gt;_&lt;time&gt;/run_log.txt (first line)</t>
        </is>
      </c>
      <c r="F13" s="58" t="inlineStr">
        <is>
          <t>Run started; log folder created</t>
        </is>
      </c>
      <c r="G13" s="59" t="inlineStr">
        <is>
          <t>Pass</t>
        </is>
      </c>
      <c r="H13" s="60" t="inlineStr">
        <is>
          <t>2026-10-21</t>
        </is>
      </c>
      <c r="I13" s="59" t="inlineStr">
        <is>
          <t>Claude</t>
        </is>
      </c>
      <c r="J13" s="59" t="inlineStr">
        <is>
          <t>qa/Claude (see RERUN_SUMMARY.md, verification/, review/PEER_REVIEW.md)</t>
        </is>
      </c>
      <c r="K13" s="59" t="n"/>
      <c r="L13" s="59" t="inlineStr">
        <is>
          <t>logs/run_2026-10-21_145729/run_log.txt first line 2026-10-21 14:57:29.</t>
        </is>
      </c>
    </row>
    <row r="14" ht="23.85" customHeight="1" s="38">
      <c r="A14" s="58" t="inlineStr">
        <is>
          <t>B3</t>
        </is>
      </c>
      <c r="B14" s="58" t="inlineStr">
        <is>
          <t>Re-run with date-stamped logs</t>
        </is>
      </c>
      <c r="C14" s="58" t="inlineStr">
        <is>
          <t>Stage 1 completed: populations built and calibration checks passed</t>
        </is>
      </c>
      <c r="D14" s="58" t="inlineStr">
        <is>
          <t>In run_log.txt, find 'Stage 1 finished'. Open each errors/output*/.../checks.json and confirm every check passes.</t>
        </is>
      </c>
      <c r="E14" s="58" t="inlineStr">
        <is>
          <t>run_log.txt; */errors/output*/*/checks.json</t>
        </is>
      </c>
      <c r="F14" s="58" t="inlineStr">
        <is>
          <t>Stage 1 finished; all calibration checks pass</t>
        </is>
      </c>
      <c r="G14" s="59" t="inlineStr">
        <is>
          <t>Pass</t>
        </is>
      </c>
      <c r="H14" s="60" t="inlineStr">
        <is>
          <t>2026-10-21</t>
        </is>
      </c>
      <c r="I14" s="59" t="inlineStr">
        <is>
          <t>Claude</t>
        </is>
      </c>
      <c r="J14" s="59" t="inlineStr">
        <is>
          <t>qa/Claude (see RERUN_SUMMARY.md, verification/, review/PEER_REVIEW.md)</t>
        </is>
      </c>
      <c r="K14" s="59" t="n"/>
      <c r="L14" s="59" t="inlineStr">
        <is>
          <t>Stage 1 finished in 1m 17s. All checks.json entries pass (Part D entries marked "reported, not a target" are informational).</t>
        </is>
      </c>
    </row>
    <row r="15" ht="23.85" customHeight="1" s="38">
      <c r="A15" s="58" t="inlineStr">
        <is>
          <t>B4</t>
        </is>
      </c>
      <c r="B15" s="58" t="inlineStr">
        <is>
          <t>Re-run with date-stamped logs</t>
        </is>
      </c>
      <c r="C15" s="58" t="inlineStr">
        <is>
          <t>Stage 2 completed: reported estimates (parametric-rate bootstrap)</t>
        </is>
      </c>
      <c r="D15" s="58" t="inlineStr">
        <is>
          <t>Find 'Stage 2 finished' in run_log.txt. Record the time on the Run log sheet.</t>
        </is>
      </c>
      <c r="E15" s="58" t="inlineStr">
        <is>
          <t>run_log.txt; */estimation/results/</t>
        </is>
      </c>
      <c r="F15" s="58" t="inlineStr">
        <is>
          <t>Stage 2 finished, no FAILED lines</t>
        </is>
      </c>
      <c r="G15" s="59" t="inlineStr">
        <is>
          <t>Pass</t>
        </is>
      </c>
      <c r="H15" s="60" t="inlineStr">
        <is>
          <t>2026-10-21</t>
        </is>
      </c>
      <c r="I15" s="59" t="inlineStr">
        <is>
          <t>Claude</t>
        </is>
      </c>
      <c r="J15" s="59" t="inlineStr">
        <is>
          <t>qa/Claude (see RERUN_SUMMARY.md, verification/, review/PEER_REVIEW.md)</t>
        </is>
      </c>
      <c r="K15" s="59" t="n"/>
      <c r="L15" s="59" t="inlineStr">
        <is>
          <t>Stage 2 finished in 1h 05m 15s (published 1h 08m 24s).</t>
        </is>
      </c>
    </row>
    <row r="16" ht="23.85" customHeight="1" s="38">
      <c r="A16" s="58" t="inlineStr">
        <is>
          <t>B5</t>
        </is>
      </c>
      <c r="B16" s="58" t="inlineStr">
        <is>
          <t>Re-run with date-stamped logs</t>
        </is>
      </c>
      <c r="C16" s="58" t="inlineStr">
        <is>
          <t>Stage 3 completed: fixed-rate comparison</t>
        </is>
      </c>
      <c r="D16" s="58" t="inlineStr">
        <is>
          <t>Find 'Stage 3 finished' in run_log.txt.</t>
        </is>
      </c>
      <c r="E16" s="58" t="inlineStr">
        <is>
          <t>run_log.txt; */estimation/results_fixed/</t>
        </is>
      </c>
      <c r="F16" s="58" t="inlineStr">
        <is>
          <t>Stage 3 finished, no FAILED lines</t>
        </is>
      </c>
      <c r="G16" s="59" t="inlineStr">
        <is>
          <t>Pass</t>
        </is>
      </c>
      <c r="H16" s="60" t="inlineStr">
        <is>
          <t>2026-10-21</t>
        </is>
      </c>
      <c r="I16" s="59" t="inlineStr">
        <is>
          <t>Claude</t>
        </is>
      </c>
      <c r="J16" s="59" t="inlineStr">
        <is>
          <t>qa/Claude (see RERUN_SUMMARY.md, verification/, review/PEER_REVIEW.md)</t>
        </is>
      </c>
      <c r="K16" s="59" t="n"/>
      <c r="L16" s="59" t="inlineStr">
        <is>
          <t>Stage 3 finished in 1h 02m 59s in the resumed run (run_2026-10-21_165745).</t>
        </is>
      </c>
    </row>
    <row r="17" ht="23.85" customHeight="1" s="38">
      <c r="A17" s="58" t="inlineStr">
        <is>
          <t>B6</t>
        </is>
      </c>
      <c r="B17" s="58" t="inlineStr">
        <is>
          <t>Re-run with date-stamped logs</t>
        </is>
      </c>
      <c r="C17" s="58" t="inlineStr">
        <is>
          <t>Stage 4 completed: Part D pre-IRA reference</t>
        </is>
      </c>
      <c r="D17" s="58" t="inlineStr">
        <is>
          <t>Find 'Stage 4 finished' in run_log.txt.</t>
        </is>
      </c>
      <c r="E17" s="58" t="inlineStr">
        <is>
          <t>run_log.txt; part-d-ipm/pre-ira-reference.md</t>
        </is>
      </c>
      <c r="F17" s="58" t="inlineStr">
        <is>
          <t>Stage 4 finished, no FAILED lines</t>
        </is>
      </c>
      <c r="G17" s="59" t="inlineStr">
        <is>
          <t>Pass</t>
        </is>
      </c>
      <c r="H17" s="60" t="inlineStr">
        <is>
          <t>2026-10-21</t>
        </is>
      </c>
      <c r="I17" s="59" t="inlineStr">
        <is>
          <t>Claude</t>
        </is>
      </c>
      <c r="J17" s="59" t="inlineStr">
        <is>
          <t>qa/Claude (see RERUN_SUMMARY.md, verification/, review/PEER_REVIEW.md)</t>
        </is>
      </c>
      <c r="K17" s="59" t="n"/>
      <c r="L17" s="59" t="inlineStr">
        <is>
          <t>Stage 4 finished in 58m 23s (run_2026-10-21_180449).</t>
        </is>
      </c>
    </row>
    <row r="18" ht="23.85" customHeight="1" s="38">
      <c r="A18" s="58" t="inlineStr">
        <is>
          <t>B7</t>
        </is>
      </c>
      <c r="B18" s="58" t="inlineStr">
        <is>
          <t>Re-run with date-stamped logs</t>
        </is>
      </c>
      <c r="C18" s="58" t="inlineStr">
        <is>
          <t>Stages 5 and 6 completed: report and manuscript tables</t>
        </is>
      </c>
      <c r="D18" s="58" t="inlineStr">
        <is>
          <t>Find 'Stage 5 finished' and 'Stage 6 finished' in run_log.txt.</t>
        </is>
      </c>
      <c r="E18" s="58" t="inlineStr">
        <is>
          <t>run_log.txt; shared/results/report/; manuscripts/generated/</t>
        </is>
      </c>
      <c r="F18" s="58" t="inlineStr">
        <is>
          <t>Both stages finished</t>
        </is>
      </c>
      <c r="G18" s="59" t="inlineStr">
        <is>
          <t>Pass</t>
        </is>
      </c>
      <c r="H18" s="60" t="inlineStr">
        <is>
          <t>2026-10-21</t>
        </is>
      </c>
      <c r="I18" s="59" t="inlineStr">
        <is>
          <t>Claude</t>
        </is>
      </c>
      <c r="J18" s="59" t="inlineStr">
        <is>
          <t>qa/Claude (see RERUN_SUMMARY.md, verification/, review/PEER_REVIEW.md)</t>
        </is>
      </c>
      <c r="K18" s="59" t="n"/>
      <c r="L18" s="59" t="inlineStr">
        <is>
          <t>Stages 5 and 6 finished (1s, 4s).</t>
        </is>
      </c>
    </row>
    <row r="19" ht="23.85" customHeight="1" s="38">
      <c r="A19" s="58" t="inlineStr">
        <is>
          <t>B8</t>
        </is>
      </c>
      <c r="B19" s="58" t="inlineStr">
        <is>
          <t>Re-run with date-stamped logs</t>
        </is>
      </c>
      <c r="C19" s="58" t="inlineStr">
        <is>
          <t>Stage 7 completed: automated tests pass</t>
        </is>
      </c>
      <c r="D19" s="58" t="inlineStr">
        <is>
          <t>Open the stage7 log. The last pytest line reports the number passed.</t>
        </is>
      </c>
      <c r="E19" s="58" t="inlineStr">
        <is>
          <t>start-here/logs/run_*/stage7_01_pytest.log</t>
        </is>
      </c>
      <c r="F19" s="58" t="inlineStr">
        <is>
          <t>All tests passed, 0 failed</t>
        </is>
      </c>
      <c r="G19" s="59" t="inlineStr">
        <is>
          <t>Pass</t>
        </is>
      </c>
      <c r="H19" s="60" t="inlineStr">
        <is>
          <t>2026-10-21</t>
        </is>
      </c>
      <c r="I19" s="59" t="inlineStr">
        <is>
          <t>Claude</t>
        </is>
      </c>
      <c r="J19" s="59" t="inlineStr">
        <is>
          <t>qa/Claude (see RERUN_SUMMARY.md, verification/, review/PEER_REVIEW.md)</t>
        </is>
      </c>
      <c r="K19" s="59" t="n"/>
      <c r="L19" s="59" t="inlineStr">
        <is>
          <t>stage7_01_pytest.log: 38 passed in 59.00s.</t>
        </is>
      </c>
    </row>
    <row r="20" ht="35.05" customHeight="1" s="38">
      <c r="A20" s="58" t="inlineStr">
        <is>
          <t>B9</t>
        </is>
      </c>
      <c r="B20" s="58" t="inlineStr">
        <is>
          <t>Re-run with date-stamped logs</t>
        </is>
      </c>
      <c r="C20" s="58" t="inlineStr">
        <is>
          <t>Stage 8: the result check reproduces the published results</t>
        </is>
      </c>
      <c r="D20" s="58" t="inlineStr">
        <is>
          <t>Open the stage8 log (or verification/verify_check.txt after collecting).</t>
        </is>
      </c>
      <c r="E20" s="58" t="inlineStr">
        <is>
          <t>start-here/logs/run_*/stage8_01_start_here_verify.log</t>
        </is>
      </c>
      <c r="F20" s="58" t="inlineStr">
        <is>
          <t>REPRODUCED EXACTLY (or REPRODUCED, with the reason explained in Notes)</t>
        </is>
      </c>
      <c r="G20" s="59" t="inlineStr">
        <is>
          <t>Pass</t>
        </is>
      </c>
      <c r="H20" s="60" t="inlineStr">
        <is>
          <t>2026-10-21</t>
        </is>
      </c>
      <c r="I20" s="59" t="inlineStr">
        <is>
          <t>Claude</t>
        </is>
      </c>
      <c r="J20" s="59" t="inlineStr">
        <is>
          <t>qa/Claude (see RERUN_SUMMARY.md, verification/, review/PEER_REVIEW.md)</t>
        </is>
      </c>
      <c r="K20" s="59" t="n"/>
      <c r="L20" s="59" t="inlineStr">
        <is>
          <t>REPRODUCED EXACTLY: 183 of 183 output files byte-for-byte identical.</t>
        </is>
      </c>
    </row>
    <row r="21" ht="23.85" customHeight="1" s="38">
      <c r="A21" s="58" t="inlineStr">
        <is>
          <t>B10</t>
        </is>
      </c>
      <c r="B21" s="58" t="inlineStr">
        <is>
          <t>Re-run with date-stamped logs</t>
        </is>
      </c>
      <c r="C21" s="58" t="inlineStr">
        <is>
          <t>If the run was interrupted, every stage still completed once</t>
        </is>
      </c>
      <c r="D21" s="58" t="inlineStr">
        <is>
          <t>If you resumed with --from, confirm that each stage 1-8 has a 'Stage N finished' line across the run folders.</t>
        </is>
      </c>
      <c r="E21" s="58" t="inlineStr">
        <is>
          <t>start-here/logs/run_*/run_log.txt</t>
        </is>
      </c>
      <c r="F21" s="58" t="inlineStr">
        <is>
          <t>Every stage finished at least once, in order; or N/A</t>
        </is>
      </c>
      <c r="G21" s="59" t="inlineStr">
        <is>
          <t>Pass</t>
        </is>
      </c>
      <c r="H21" s="60" t="inlineStr">
        <is>
          <t>2026-10-21</t>
        </is>
      </c>
      <c r="I21" s="59" t="inlineStr">
        <is>
          <t>Claude</t>
        </is>
      </c>
      <c r="J21" s="59" t="inlineStr">
        <is>
          <t>qa/Claude (see RERUN_SUMMARY.md, verification/, review/PEER_REVIEW.md)</t>
        </is>
      </c>
      <c r="K21" s="59" t="n"/>
      <c r="L21" s="59" t="inlineStr">
        <is>
          <t>The first full run was stopped by the reviewer's own process time limit during stage 3 (CERT fixed-rate). Resumed with --only 3 then --from 4; every stage finished once, in order, across the three run folders.</t>
        </is>
      </c>
    </row>
    <row r="22" ht="23.85" customHeight="1" s="38">
      <c r="A22" s="58" t="inlineStr">
        <is>
          <t>B11</t>
        </is>
      </c>
      <c r="B22" s="58" t="inlineStr">
        <is>
          <t>Re-run with date-stamped logs</t>
        </is>
      </c>
      <c r="C22" s="58" t="inlineStr">
        <is>
          <t>The logs contain no errors</t>
        </is>
      </c>
      <c r="D22" s="58" t="inlineStr">
        <is>
          <t>Search every .log file for 'Traceback', 'Error', 'FAILED' and 'exit code: 1'. (A RuntimeWarning is not an error.)</t>
        </is>
      </c>
      <c r="E22" s="58" t="inlineStr">
        <is>
          <t>start-here/logs/run_*/*.log</t>
        </is>
      </c>
      <c r="F22" s="58" t="inlineStr">
        <is>
          <t>None found, or each explained in Notes</t>
        </is>
      </c>
      <c r="G22" s="59" t="inlineStr">
        <is>
          <t>Pass</t>
        </is>
      </c>
      <c r="H22" s="60" t="inlineStr">
        <is>
          <t>2026-10-21</t>
        </is>
      </c>
      <c r="I22" s="59" t="inlineStr">
        <is>
          <t>Claude</t>
        </is>
      </c>
      <c r="J22" s="59" t="inlineStr">
        <is>
          <t>qa/Claude (see RERUN_SUMMARY.md, verification/, review/PEER_REVIEW.md)</t>
        </is>
      </c>
      <c r="K22" s="59" t="n"/>
      <c r="L22" s="59" t="inlineStr">
        <is>
          <t>No Traceback, FAILED or exit code: 1 in any .log.</t>
        </is>
      </c>
    </row>
    <row r="23" ht="23.85" customHeight="1" s="38">
      <c r="A23" s="58" t="inlineStr">
        <is>
          <t>B12</t>
        </is>
      </c>
      <c r="B23" s="58" t="inlineStr">
        <is>
          <t>Re-run with date-stamped logs</t>
        </is>
      </c>
      <c r="C23" s="58" t="inlineStr">
        <is>
          <t>Collect the re-run into the QA holding space</t>
        </is>
      </c>
      <c r="D23" s="58" t="inlineStr">
        <is>
          <t>Run  .venv/bin/python qa/collect_rerun.py --reviewer "Your Name" --initials XX</t>
        </is>
      </c>
      <c r="E23" s="58" t="inlineStr">
        <is>
          <t>qa/reruns/&lt;date&gt;_&lt;initials&gt;/</t>
        </is>
      </c>
      <c r="F23" s="58" t="inlineStr">
        <is>
          <t>Folder created; RERUN_SUMMARY.md lists your runs and the result check</t>
        </is>
      </c>
      <c r="G23" s="59" t="inlineStr">
        <is>
          <t>Pass</t>
        </is>
      </c>
      <c r="H23" s="60" t="inlineStr">
        <is>
          <t>2026-10-21</t>
        </is>
      </c>
      <c r="I23" s="59" t="inlineStr">
        <is>
          <t>Claude</t>
        </is>
      </c>
      <c r="J23" s="59" t="inlineStr">
        <is>
          <t>qa/Claude (see RERUN_SUMMARY.md, verification/, review/PEER_REVIEW.md)</t>
        </is>
      </c>
      <c r="K23" s="59" t="n"/>
      <c r="L23" s="59" t="inlineStr">
        <is>
          <t>Collected as qa/reruns/2026-10-21_CLAUDE then moved to qa/Claude per the author's instruction.</t>
        </is>
      </c>
    </row>
    <row r="24" ht="23.85" customHeight="1" s="38">
      <c r="A24" s="58" t="inlineStr">
        <is>
          <t>B13</t>
        </is>
      </c>
      <c r="B24" s="58" t="inlineStr">
        <is>
          <t>Re-run with date-stamped logs</t>
        </is>
      </c>
      <c r="C24" s="58" t="inlineStr">
        <is>
          <t>Review the environment record</t>
        </is>
      </c>
      <c r="D24" s="58" t="inlineStr">
        <is>
          <t>Open environment.txt in each run folder. Confirm the date, operating system, Python and package versions are yours.</t>
        </is>
      </c>
      <c r="E24" s="58" t="inlineStr">
        <is>
          <t>qa/reruns/&lt;date&gt;_&lt;initials&gt;/logs/run_*/environment.txt</t>
        </is>
      </c>
      <c r="F24" s="58" t="inlineStr">
        <is>
          <t>Matches your computer; copied to the Reviewer sheet</t>
        </is>
      </c>
      <c r="G24" s="59" t="inlineStr">
        <is>
          <t>Pass</t>
        </is>
      </c>
      <c r="H24" s="60" t="inlineStr">
        <is>
          <t>2026-10-21</t>
        </is>
      </c>
      <c r="I24" s="59" t="inlineStr">
        <is>
          <t>Claude</t>
        </is>
      </c>
      <c r="J24" s="59" t="inlineStr">
        <is>
          <t>qa/Claude (see RERUN_SUMMARY.md, verification/, review/PEER_REVIEW.md)</t>
        </is>
      </c>
      <c r="K24" s="59" t="n"/>
      <c r="L24" s="59" t="inlineStr">
        <is>
          <t>environment.txt matches this machine (2 cores, 7.8 GB, Python 3.13.16, DuckDB 1.5.6).</t>
        </is>
      </c>
    </row>
    <row r="25" ht="23.85" customHeight="1" s="38">
      <c r="A25" s="58" t="inlineStr">
        <is>
          <t>B14</t>
        </is>
      </c>
      <c r="B25" s="58" t="inlineStr">
        <is>
          <t>Re-run with date-stamped logs</t>
        </is>
      </c>
      <c r="C25" s="58" t="inlineStr">
        <is>
          <t>Review the file inventory</t>
        </is>
      </c>
      <c r="D25" s="58" t="inlineStr">
        <is>
          <t>Open file_inventory.csv in Excel. Filter matches_published for 'NO'.</t>
        </is>
      </c>
      <c r="E25" s="58" t="inlineStr">
        <is>
          <t>qa/reruns/&lt;date&gt;_&lt;initials&gt;/verification/file_inventory.csv</t>
        </is>
      </c>
      <c r="F25" s="58" t="inlineStr">
        <is>
          <t>No rows with 'NO', or each explained in Notes</t>
        </is>
      </c>
      <c r="G25" s="59" t="inlineStr">
        <is>
          <t>Pass</t>
        </is>
      </c>
      <c r="H25" s="60" t="inlineStr">
        <is>
          <t>2026-10-21</t>
        </is>
      </c>
      <c r="I25" s="59" t="inlineStr">
        <is>
          <t>Claude</t>
        </is>
      </c>
      <c r="J25" s="59" t="inlineStr">
        <is>
          <t>qa/Claude (see RERUN_SUMMARY.md, verification/, review/PEER_REVIEW.md)</t>
        </is>
      </c>
      <c r="K25" s="59" t="n"/>
      <c r="L25" s="59" t="inlineStr">
        <is>
          <t>file_inventory.csv: 0 rows with NO.</t>
        </is>
      </c>
    </row>
    <row r="26" ht="15" customHeight="1" s="38">
      <c r="A26" s="57" t="inlineStr">
        <is>
          <t>C. Code review: key assumptions</t>
        </is>
      </c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</row>
    <row r="27" ht="35.05" customHeight="1" s="38">
      <c r="A27" s="58" t="inlineStr">
        <is>
          <t>C1</t>
        </is>
      </c>
      <c r="B27" s="58" t="inlineStr">
        <is>
          <t>Code review: key assumptions</t>
        </is>
      </c>
      <c r="C27" s="58" t="inlineStr">
        <is>
          <t>Review is perfect: the audit finding equals the true error</t>
        </is>
      </c>
      <c r="D27" s="58" t="inlineStr">
        <is>
          <t>Confirm that the sampled units' y is read directly from the population's true y, with no review error or appeals.</t>
        </is>
      </c>
      <c r="E27" s="58" t="inlineStr">
        <is>
          <t>shared/sql/sample_srs.sql; shared/sql/sample_systematic.sql; */estimation/sql/*01_frame.sql</t>
        </is>
      </c>
      <c r="F27" s="58" t="inlineStr">
        <is>
          <t>Sample y = population y; no reviewer error modeled (manuscript Appendix B.6, item 1)</t>
        </is>
      </c>
      <c r="G27" s="59" t="inlineStr">
        <is>
          <t>Pass</t>
        </is>
      </c>
      <c r="H27" s="60" t="inlineStr">
        <is>
          <t>2026-10-21</t>
        </is>
      </c>
      <c r="I27" s="59" t="inlineStr">
        <is>
          <t>Claude</t>
        </is>
      </c>
      <c r="J27" s="59" t="inlineStr">
        <is>
          <t>qa/Claude (see RERUN_SUMMARY.md, verification/, review/PEER_REVIEW.md)</t>
        </is>
      </c>
      <c r="K27" s="59" t="n"/>
      <c r="L27" s="59" t="inlineStr">
        <is>
          <t>sample_srs.sql / sample_systematic.sql read y from the population; no review error modeled.</t>
        </is>
      </c>
    </row>
    <row r="28" ht="35.05" customHeight="1" s="38">
      <c r="A28" s="58" t="inlineStr">
        <is>
          <t>C2</t>
        </is>
      </c>
      <c r="B28" s="58" t="inlineStr">
        <is>
          <t>Code review: key assumptions</t>
        </is>
      </c>
      <c r="C28" s="58" t="inlineStr">
        <is>
          <t>One audit per audit year; every method uses only that audit</t>
        </is>
      </c>
      <c r="D28" s="58" t="inlineStr">
        <is>
          <t>Confirm that expansion, ratio and regression read the same sample table, and that the bootstrap simulation uses only that year's audit findings (Part D: its own 5,000-PDE audit).</t>
        </is>
      </c>
      <c r="E28" s="58" t="inlineStr">
        <is>
          <t>*/estimation/config.yaml (step order); shared/ipsim/simulation.py</t>
        </is>
      </c>
      <c r="F28" s="58" t="inlineStr">
        <is>
          <t>No method sees the population's true errors; Part D's two audits are as documented</t>
        </is>
      </c>
      <c r="G28" s="59" t="inlineStr">
        <is>
          <t>Pass</t>
        </is>
      </c>
      <c r="H28" s="60" t="inlineStr">
        <is>
          <t>2026-10-21</t>
        </is>
      </c>
      <c r="I28" s="59" t="inlineStr">
        <is>
          <t>Claude</t>
        </is>
      </c>
      <c r="J28" s="59" t="inlineStr">
        <is>
          <t>qa/Claude (see RERUN_SUMMARY.md, verification/, review/PEER_REVIEW.md)</t>
        </is>
      </c>
      <c r="K28" s="59" t="n"/>
      <c r="L28" s="59" t="inlineStr">
        <is>
          <t>All analytic methods read the same sample table; simulation uses only that year's audit. Note README.md:14 wrongly describes a 108,000-beneficiary sample (I-08).</t>
        </is>
      </c>
    </row>
    <row r="29" ht="23.85" customHeight="1" s="38">
      <c r="A29" s="58" t="inlineStr">
        <is>
          <t>C3</t>
        </is>
      </c>
      <c r="B29" s="58" t="inlineStr">
        <is>
          <t>Code review: key assumptions</t>
        </is>
      </c>
      <c r="C29" s="58" t="inlineStr">
        <is>
          <t>Errors are independent of selection within a stratum</t>
        </is>
      </c>
      <c r="D29" s="58" t="inlineStr">
        <is>
          <t>Confirm that errors are fabricated before sampling and that sample selection uses only stratum and unit id (not y).</t>
        </is>
      </c>
      <c r="E29" s="58" t="inlineStr">
        <is>
          <t>*/errors/sql/*apply_errors*.sql; shared/sql/sample_srs.sql; shared/sql/lib/00_rng.sql</t>
        </is>
      </c>
      <c r="F29" s="58" t="inlineStr">
        <is>
          <t>Selection keys never use y</t>
        </is>
      </c>
      <c r="G29" s="59" t="inlineStr">
        <is>
          <t>Pass</t>
        </is>
      </c>
      <c r="H29" s="60" t="inlineStr">
        <is>
          <t>2026-10-21</t>
        </is>
      </c>
      <c r="I29" s="59" t="inlineStr">
        <is>
          <t>Claude</t>
        </is>
      </c>
      <c r="J29" s="59" t="inlineStr">
        <is>
          <t>qa/Claude (see RERUN_SUMMARY.md, verification/, review/PEER_REVIEW.md)</t>
        </is>
      </c>
      <c r="K29" s="59" t="n"/>
      <c r="L29" s="59" t="inlineStr">
        <is>
          <t>Selection keys use only seed/stream/stratum/unit id.</t>
        </is>
      </c>
    </row>
    <row r="30" ht="57.45" customHeight="1" s="38">
      <c r="A30" s="58" t="inlineStr">
        <is>
          <t>C4</t>
        </is>
      </c>
      <c r="B30" s="58" t="inlineStr">
        <is>
          <t>Code review: key assumptions</t>
        </is>
      </c>
      <c r="C30" s="58" t="inlineStr">
        <is>
          <t>Neyman allocation uses the population's stratum standard deviations</t>
        </is>
      </c>
      <c r="D30" s="58" t="inlineStr">
        <is>
          <t>Confirm n_h is proportional to N_h x S_h, with S_h computed from the population (standing in for prior-year data), and sums to the stated audit size.</t>
        </is>
      </c>
      <c r="E30" s="58" t="inlineStr">
        <is>
          <t>eipm/estimation/sql/01_frame.sql; perm-cert/estimation/sql/perm_01_frame.sql, cert_01_frame.sql; part-d-ipm/estimation/sql/40_simulation_inputs.sql; allocation.json</t>
        </is>
      </c>
      <c r="F30" s="58" t="inlineStr">
        <is>
          <t>Neyman formula; sizes 2,000 (EIPM), 520 per state (PERM), 37,651 (CERT), 5,000 PDEs (Part D)</t>
        </is>
      </c>
      <c r="G30" s="59" t="inlineStr">
        <is>
          <t>Pass</t>
        </is>
      </c>
      <c r="H30" s="60" t="inlineStr">
        <is>
          <t>2026-10-21</t>
        </is>
      </c>
      <c r="I30" s="59" t="inlineStr">
        <is>
          <t>Claude</t>
        </is>
      </c>
      <c r="J30" s="59" t="inlineStr">
        <is>
          <t>qa/Claude (see RERUN_SUMMARY.md, verification/, review/PEER_REVIEW.md)</t>
        </is>
      </c>
      <c r="K30" s="59" t="n"/>
      <c r="L30" s="59" t="inlineStr">
        <is>
          <t>Neyman n_h ∝ N_h S_h with S_h from the population; sizes 2,000 / 520 / 37,651 / 5,000 confirmed. Part D lowest-decile stratum receives n_h ≈ 4.</t>
        </is>
      </c>
    </row>
    <row r="31" ht="23.85" customHeight="1" s="38">
      <c r="A31" s="58" t="inlineStr">
        <is>
          <t>C5</t>
        </is>
      </c>
      <c r="B31" s="58" t="inlineStr">
        <is>
          <t>Code review: key assumptions</t>
        </is>
      </c>
      <c r="C31" s="58" t="inlineStr">
        <is>
          <t>Netting: errors netted within the payment unit before measures</t>
        </is>
      </c>
      <c r="D31" s="58" t="inlineStr">
        <is>
          <t>Confirm over = sum max(y,0), under = sum max(-y,0), gross = over + under, net = over - under, after netting per enrollee/beneficiary/claim.</t>
        </is>
      </c>
      <c r="E31" s="58" t="inlineStr">
        <is>
          <t>*/estimation/sql/*01_frame.sql; */errors/sql/*truth*.sql</t>
        </is>
      </c>
      <c r="F31" s="58" t="inlineStr">
        <is>
          <t>Matches manuscript Section 3.3</t>
        </is>
      </c>
      <c r="G31" s="59" t="inlineStr">
        <is>
          <t>Pass</t>
        </is>
      </c>
      <c r="H31" s="60" t="inlineStr">
        <is>
          <t>2026-10-21</t>
        </is>
      </c>
      <c r="I31" s="59" t="inlineStr">
        <is>
          <t>Claude</t>
        </is>
      </c>
      <c r="J31" s="59" t="inlineStr">
        <is>
          <t>qa/Claude (see RERUN_SUMMARY.md, verification/, review/PEER_REVIEW.md)</t>
        </is>
      </c>
      <c r="K31" s="59" t="n"/>
      <c r="L31" s="59" t="inlineStr">
        <is>
          <t>Netting as stated in the population and analytic estimators.</t>
        </is>
      </c>
    </row>
    <row r="32" ht="23.85" customHeight="1" s="38">
      <c r="A32" s="58" t="inlineStr">
        <is>
          <t>C6</t>
        </is>
      </c>
      <c r="B32" s="58" t="inlineStr">
        <is>
          <t>Code review: key assumptions</t>
        </is>
      </c>
      <c r="C32" s="58" t="inlineStr">
        <is>
          <t>Unknown payments (e.g., missing documentation) count as improper</t>
        </is>
      </c>
      <c r="D32" s="58" t="inlineStr">
        <is>
          <t>Confirm missing-documentation errors set the whole payment (or every HCC) to improper.</t>
        </is>
      </c>
      <c r="E32" s="58" t="inlineStr">
        <is>
          <t>part-c-ipm/errors/sql/04_apply_errors.sql; perm-cert/errors/sql/cert_02_apply_errors.sql</t>
        </is>
      </c>
      <c r="F32" s="58" t="inlineStr">
        <is>
          <t>Follows CMS practice (Appendix B.6, item 6)</t>
        </is>
      </c>
      <c r="G32" s="59" t="inlineStr">
        <is>
          <t>Pass</t>
        </is>
      </c>
      <c r="H32" s="60" t="inlineStr">
        <is>
          <t>2026-10-21</t>
        </is>
      </c>
      <c r="I32" s="59" t="inlineStr">
        <is>
          <t>Claude</t>
        </is>
      </c>
      <c r="J32" s="59" t="inlineStr">
        <is>
          <t>qa/Claude (see RERUN_SUMMARY.md, verification/, review/PEER_REVIEW.md)</t>
        </is>
      </c>
      <c r="K32" s="59" t="n"/>
      <c r="L32" s="59" t="inlineStr">
        <is>
          <t>Missing documentation loses every HCC (Part C); no/insufficient documentation = whole claim (CERT).</t>
        </is>
      </c>
    </row>
    <row r="33" ht="35.05" customHeight="1" s="38">
      <c r="A33" s="58" t="inlineStr">
        <is>
          <t>C7</t>
        </is>
      </c>
      <c r="B33" s="58" t="inlineStr">
        <is>
          <t>Code review: key assumptions</t>
        </is>
      </c>
      <c r="C33" s="58" t="inlineStr">
        <is>
          <t>Calibration is one closed-form multiplier, with no iterative tuning</t>
        </is>
      </c>
      <c r="D33" s="58" t="inlineStr">
        <is>
          <t>Confirm each calibrated rate = base probability x (target dollars / expected dollars), and that the multiplier is logged.</t>
        </is>
      </c>
      <c r="E33" s="58" t="inlineStr">
        <is>
          <t>*/errors/sql/*apply_errors*.sql; part-d-ipm/errors/sql/03_init_calibration.sql; truth.json (by.calibration)</t>
        </is>
      </c>
      <c r="F33" s="58" t="inlineStr">
        <is>
          <t>One multiplier per target; recorded in truth.json</t>
        </is>
      </c>
      <c r="G33" s="59" t="inlineStr">
        <is>
          <t>Pass</t>
        </is>
      </c>
      <c r="H33" s="60" t="inlineStr">
        <is>
          <t>2026-10-21</t>
        </is>
      </c>
      <c r="I33" s="59" t="inlineStr">
        <is>
          <t>Claude</t>
        </is>
      </c>
      <c r="J33" s="59" t="inlineStr">
        <is>
          <t>qa/Claude (see RERUN_SUMMARY.md, verification/, review/PEER_REVIEW.md)</t>
        </is>
      </c>
      <c r="K33" s="59" t="n"/>
      <c r="L33" s="59" t="inlineStr">
        <is>
          <t>One closed-form multiplier per target; logged in truth.json.</t>
        </is>
      </c>
    </row>
    <row r="34" ht="23.85" customHeight="1" s="38">
      <c r="A34" s="58" t="inlineStr">
        <is>
          <t>C8</t>
        </is>
      </c>
      <c r="B34" s="58" t="inlineStr">
        <is>
          <t>Code review: key assumptions</t>
        </is>
      </c>
      <c r="C34" s="58" t="inlineStr">
        <is>
          <t>Random draws are deterministic functions of (seed, stream, key)</t>
        </is>
      </c>
      <c r="D34" s="58" t="inlineStr">
        <is>
          <t>Confirm SQL draws hash a single string per stream and simulation draws use PCG64 seeded by SeedSequence([scenario seed, audit year]).</t>
        </is>
      </c>
      <c r="E34" s="58" t="inlineStr">
        <is>
          <t>shared/sql/lib/00_rng.sql; shared/ipsim/engine.py (child_seed); shared/ipsim/simulation.py</t>
        </is>
      </c>
      <c r="F34" s="58" t="inlineStr">
        <is>
          <t>No unseeded randomness anywhere</t>
        </is>
      </c>
      <c r="G34" s="59" t="inlineStr">
        <is>
          <t>Pass</t>
        </is>
      </c>
      <c r="H34" s="60" t="inlineStr">
        <is>
          <t>2026-10-21</t>
        </is>
      </c>
      <c r="I34" s="59" t="inlineStr">
        <is>
          <t>Claude</t>
        </is>
      </c>
      <c r="J34" s="59" t="inlineStr">
        <is>
          <t>qa/Claude (see RERUN_SUMMARY.md, verification/, review/PEER_REVIEW.md)</t>
        </is>
      </c>
      <c r="K34" s="59" t="n"/>
      <c r="L34" s="59" t="inlineStr">
        <is>
          <t>hash(seed,stream,key) in SQL; PCG64 via SeedSequence([seed, audit year]) in simulation.</t>
        </is>
      </c>
    </row>
    <row r="35" ht="23.85" customHeight="1" s="38">
      <c r="A35" s="58" t="inlineStr">
        <is>
          <t>C9</t>
        </is>
      </c>
      <c r="B35" s="58" t="inlineStr">
        <is>
          <t>Code review: key assumptions</t>
        </is>
      </c>
      <c r="C35" s="58" t="inlineStr">
        <is>
          <t>Scale factors convert synthetic units to national dollars</t>
        </is>
      </c>
      <c r="D35" s="58" t="inlineStr">
        <is>
          <t>Confirm w_pop: Part C 100, Part D 500, EIPM 100, PERM 200, CERT 200; national dollars = rate x total payments x w_pop.</t>
        </is>
      </c>
      <c r="E35" s="58" t="inlineStr">
        <is>
          <t>*/errors/config.yaml (w_pop); shared/sql/report.sql</t>
        </is>
      </c>
      <c r="F35" s="58" t="inlineStr">
        <is>
          <t>Values as stated; rates are scale-free</t>
        </is>
      </c>
      <c r="G35" s="59" t="inlineStr">
        <is>
          <t>Pass</t>
        </is>
      </c>
      <c r="H35" s="60" t="inlineStr">
        <is>
          <t>2026-10-21</t>
        </is>
      </c>
      <c r="I35" s="59" t="inlineStr">
        <is>
          <t>Claude</t>
        </is>
      </c>
      <c r="J35" s="59" t="inlineStr">
        <is>
          <t>qa/Claude (see RERUN_SUMMARY.md, verification/, review/PEER_REVIEW.md)</t>
        </is>
      </c>
      <c r="K35" s="59" t="n"/>
      <c r="L35" s="59" t="inlineStr">
        <is>
          <t>w_pop 100/500/100/200/200 in configs; report.sql duplicates the values (agree).</t>
        </is>
      </c>
    </row>
    <row r="36" ht="23.85" customHeight="1" s="38">
      <c r="A36" s="58" t="inlineStr">
        <is>
          <t>C10</t>
        </is>
      </c>
      <c r="B36" s="58" t="inlineStr">
        <is>
          <t>Code review: key assumptions</t>
        </is>
      </c>
      <c r="C36" s="58" t="inlineStr">
        <is>
          <t>Analytic intervals: normal (1.96) with finite population correction</t>
        </is>
      </c>
      <c r="D36" s="58" t="inlineStr">
        <is>
          <t>Confirm expansion and ratio variances use the stratified SRS formula with (1 - n_h/N_h), and intervals are estimate +/- 1.96 SE.</t>
        </is>
      </c>
      <c r="E36" s="58" t="inlineStr">
        <is>
          <t>shared/sql/lib/02_estimators.sql (ipm_expansion, ipm_ratio)</t>
        </is>
      </c>
      <c r="F36" s="58" t="inlineStr">
        <is>
          <t>Matches manuscript Section 3.4</t>
        </is>
      </c>
      <c r="G36" s="59" t="inlineStr">
        <is>
          <t>Pass</t>
        </is>
      </c>
      <c r="H36" s="60" t="inlineStr">
        <is>
          <t>2026-10-21</t>
        </is>
      </c>
      <c r="I36" s="59" t="inlineStr">
        <is>
          <t>Claude</t>
        </is>
      </c>
      <c r="J36" s="59" t="inlineStr">
        <is>
          <t>qa/Claude (see RERUN_SUMMARY.md, verification/, review/PEER_REVIEW.md)</t>
        </is>
      </c>
      <c r="K36" s="59" t="n"/>
      <c r="L36" s="59" t="inlineStr">
        <is>
          <t>Verified against an independent per-unit numpy reference and against the exact design SE from the population (Part C ratio 54.65 vs 54.85 bp).</t>
        </is>
      </c>
    </row>
    <row r="37" ht="35.05" customHeight="1" s="38">
      <c r="A37" s="58" t="inlineStr">
        <is>
          <t>C11</t>
        </is>
      </c>
      <c r="B37" s="58" t="inlineStr">
        <is>
          <t>Code review: key assumptions</t>
        </is>
      </c>
      <c r="C37" s="58" t="inlineStr">
        <is>
          <t>Regression: models fit within strata; residual t interval</t>
        </is>
      </c>
      <c r="D37" s="58" t="inlineStr">
        <is>
          <t>Confirm design-weighted least squares within each model stratum, T = sum of predictions + weighted residuals, variance from residuals, t with df = n - strata - terms.</t>
        </is>
      </c>
      <c r="E37" s="58" t="inlineStr">
        <is>
          <t>shared/ipsim/regression.py; */estimation/sql/*30_regression.sql</t>
        </is>
      </c>
      <c r="F37" s="58" t="inlineStr">
        <is>
          <t>Matches manuscript Section 3.4</t>
        </is>
      </c>
      <c r="G37" s="59" t="inlineStr">
        <is>
          <t>Fail</t>
        </is>
      </c>
      <c r="H37" s="60" t="inlineStr">
        <is>
          <t>2026-10-21</t>
        </is>
      </c>
      <c r="I37" s="59" t="inlineStr">
        <is>
          <t>Claude</t>
        </is>
      </c>
      <c r="J37" s="59" t="inlineStr">
        <is>
          <t>qa/Claude (see RERUN_SUMMARY.md, verification/, review/PEER_REVIEW.md)</t>
        </is>
      </c>
      <c r="K37" s="59" t="inlineStr">
        <is>
          <t>I-07</t>
        </is>
      </c>
      <c r="L37" s="59" t="inlineStr">
        <is>
          <t>df subtracts intercepts twice (regression.py:110); negligible at n=990</t>
        </is>
      </c>
    </row>
    <row r="38" ht="23.85" customHeight="1" s="38">
      <c r="A38" s="58" t="inlineStr">
        <is>
          <t>C12</t>
        </is>
      </c>
      <c r="B38" s="58" t="inlineStr">
        <is>
          <t>Code review: key assumptions</t>
        </is>
      </c>
      <c r="C38" s="58" t="inlineStr">
        <is>
          <t>Regression fallback: intercept-only with too few errors</t>
        </is>
      </c>
      <c r="D38" s="58" t="inlineStr">
        <is>
          <t>Confirm a stratum uses an intercept-only model when it has fewer than 10 audited errors or fewer than (terms + 5) units.</t>
        </is>
      </c>
      <c r="E38" s="58" t="inlineStr">
        <is>
          <t>shared/ipsim/regression.py; */estimation/config.yaml (reg_min_errors: 10)</t>
        </is>
      </c>
      <c r="F38" s="58" t="inlineStr">
        <is>
          <t>Threshold 10 errors; terms + 5 units</t>
        </is>
      </c>
      <c r="G38" s="59" t="inlineStr">
        <is>
          <t>Fail</t>
        </is>
      </c>
      <c r="H38" s="60" t="inlineStr">
        <is>
          <t>2026-10-21</t>
        </is>
      </c>
      <c r="I38" s="59" t="inlineStr">
        <is>
          <t>Claude</t>
        </is>
      </c>
      <c r="J38" s="59" t="inlineStr">
        <is>
          <t>qa/Claude (see RERUN_SUMMARY.md, verification/, review/PEER_REVIEW.md)</t>
        </is>
      </c>
      <c r="K38" s="59" t="inlineStr">
        <is>
          <t>I-07</t>
        </is>
      </c>
      <c r="L38" s="59" t="inlineStr">
        <is>
          <t>fallback counts audited errors in any domain, not the domain estimated (regression.py:82)</t>
        </is>
      </c>
    </row>
    <row r="39" ht="46.25" customHeight="1" s="38">
      <c r="A39" s="58" t="inlineStr">
        <is>
          <t>C13</t>
        </is>
      </c>
      <c r="B39" s="58" t="inlineStr">
        <is>
          <t>Code review: key assumptions</t>
        </is>
      </c>
      <c r="C39" s="58" t="inlineStr">
        <is>
          <t>Regression predictors by program</t>
        </is>
      </c>
      <c r="D39" s="58" t="inlineStr">
        <is>
          <t>Confirm reg_predictors: Part C x, demo_score, months, n_hcc; Part D x, gdc_sub, n_pde, catastrophic (post-strata LTC/LIS/other); EIPM x, age, hh_size, fpl_pct, months; PERM x, month, bene_n_pay, bene_paid; CERT x.</t>
        </is>
      </c>
      <c r="E39" s="58" t="inlineStr">
        <is>
          <t>*/estimation/config.yaml; perm-cert/estimation/perm.yaml, cert.yaml</t>
        </is>
      </c>
      <c r="F39" s="58" t="inlineStr">
        <is>
          <t>Predictors as listed in manuscript Section 3.4</t>
        </is>
      </c>
      <c r="G39" s="59" t="inlineStr">
        <is>
          <t>Pass</t>
        </is>
      </c>
      <c r="H39" s="60" t="inlineStr">
        <is>
          <t>2026-10-21</t>
        </is>
      </c>
      <c r="I39" s="59" t="inlineStr">
        <is>
          <t>Claude</t>
        </is>
      </c>
      <c r="J39" s="59" t="inlineStr">
        <is>
          <t>qa/Claude (see RERUN_SUMMARY.md, verification/, review/PEER_REVIEW.md)</t>
        </is>
      </c>
      <c r="K39" s="59" t="n"/>
      <c r="L39" s="59" t="inlineStr">
        <is>
          <t>Predictors as listed.</t>
        </is>
      </c>
    </row>
    <row r="40" ht="35.05" customHeight="1" s="38">
      <c r="A40" s="58" t="inlineStr">
        <is>
          <t>C14</t>
        </is>
      </c>
      <c r="B40" s="58" t="inlineStr">
        <is>
          <t>Code review: key assumptions</t>
        </is>
      </c>
      <c r="C40" s="58" t="inlineStr">
        <is>
          <t>Bootstrap simulation (fixed rates): p = f/n, q = g/f per donor kind</t>
        </is>
      </c>
      <c r="D40" s="58" t="inlineStr">
        <is>
          <t>Confirm each non-audited unit is in error with p_k, partial with q_k, partial size drawn uniformly from the audited partial sizes.</t>
        </is>
      </c>
      <c r="E40" s="58" t="inlineStr">
        <is>
          <t>shared/ipsim/simulation.py; */estimation/*simulation.py; */estimation/sql/*40_simulation_inputs.sql</t>
        </is>
      </c>
      <c r="F40" s="58" t="inlineStr">
        <is>
          <t>Matches manuscript Section 3.5</t>
        </is>
      </c>
      <c r="G40" s="59" t="inlineStr">
        <is>
          <t>Fail</t>
        </is>
      </c>
      <c r="H40" s="60" t="inlineStr">
        <is>
          <t>2026-10-21</t>
        </is>
      </c>
      <c r="I40" s="59" t="inlineStr">
        <is>
          <t>Claude</t>
        </is>
      </c>
      <c r="J40" s="59" t="inlineStr">
        <is>
          <t>qa/Claude (see RERUN_SUMMARY.md, verification/, review/PEER_REVIEW.md)</t>
        </is>
      </c>
      <c r="K40" s="59" t="inlineStr">
        <is>
          <t>I-10</t>
        </is>
      </c>
      <c r="L40" s="59" t="inlineStr">
        <is>
          <t>Part C kernel uses the HCC mean audited loss, not a uniform draw from the partial list (simulation.py:104,133); §3.5/A.5 say "drawn uniformly"</t>
        </is>
      </c>
    </row>
    <row r="41" ht="23.85" customHeight="1" s="38">
      <c r="A41" s="58" t="inlineStr">
        <is>
          <t>C15</t>
        </is>
      </c>
      <c r="B41" s="58" t="inlineStr">
        <is>
          <t>Code review: key assumptions</t>
        </is>
      </c>
      <c r="C41" s="58" t="inlineStr">
        <is>
          <t>Bootstrap simulation (parametric rates): binomial redraw each iteration</t>
        </is>
      </c>
      <c r="D41" s="58" t="inlineStr">
        <is>
          <t>Confirm p~ = Binomial(n, p)/n and q~ = Binomial(f, q)/f before every iteration, and that zero-failure rates stay at zero.</t>
        </is>
      </c>
      <c r="E41" s="58" t="inlineStr">
        <is>
          <t>shared/ipsim/simulation.py (sim_rates: parametric)</t>
        </is>
      </c>
      <c r="F41" s="58" t="inlineStr">
        <is>
          <t>Matches manuscript Section 3.6</t>
        </is>
      </c>
      <c r="G41" s="59" t="inlineStr">
        <is>
          <t>Fail</t>
        </is>
      </c>
      <c r="H41" s="60" t="inlineStr">
        <is>
          <t>2026-10-21</t>
        </is>
      </c>
      <c r="I41" s="59" t="inlineStr">
        <is>
          <t>Claude</t>
        </is>
      </c>
      <c r="J41" s="59" t="inlineStr">
        <is>
          <t>qa/Claude (see RERUN_SUMMARY.md, verification/, review/PEER_REVIEW.md)</t>
        </is>
      </c>
      <c r="K41" s="59" t="inlineStr">
        <is>
          <t>I-06</t>
        </is>
      </c>
      <c r="L41" s="59" t="inlineStr">
        <is>
          <t>q~ is drawn as Binomial(f, q)/f with the observed f rather than the redrawn f~ (part-d simulation.py:204; perm_simulation.py:94; cert_simulation.py:197). Zero-failure rates stay at zero: confirmed.</t>
        </is>
      </c>
    </row>
    <row r="42" ht="23.85" customHeight="1" s="38">
      <c r="A42" s="58" t="inlineStr">
        <is>
          <t>C16</t>
        </is>
      </c>
      <c r="B42" s="58" t="inlineStr">
        <is>
          <t>Code review: key assumptions</t>
        </is>
      </c>
      <c r="C42" s="58" t="inlineStr">
        <is>
          <t>Audited units keep their own findings</t>
        </is>
      </c>
      <c r="D42" s="58" t="inlineStr">
        <is>
          <t>Confirm the simulation assigns errors only to non-audited units and keeps each audited unit's actual finding.</t>
        </is>
      </c>
      <c r="E42" s="58" t="inlineStr">
        <is>
          <t>*/estimation/*simulation.py</t>
        </is>
      </c>
      <c r="F42" s="58" t="inlineStr">
        <is>
          <t>Audited units unchanged across iterations</t>
        </is>
      </c>
      <c r="G42" s="59" t="inlineStr">
        <is>
          <t>Fail</t>
        </is>
      </c>
      <c r="H42" s="60" t="inlineStr">
        <is>
          <t>2026-10-21</t>
        </is>
      </c>
      <c r="I42" s="59" t="inlineStr">
        <is>
          <t>Claude</t>
        </is>
      </c>
      <c r="J42" s="59" t="inlineStr">
        <is>
          <t>qa/Claude (see RERUN_SUMMARY.md, verification/, review/PEER_REVIEW.md)</t>
        </is>
      </c>
      <c r="K42" s="59" t="inlineStr">
        <is>
          <t>I-02</t>
        </is>
      </c>
      <c r="L42" s="59" t="inlineStr">
        <is>
          <t>Audited units keep findings (confirmed), but non-audited Part C recipients receive additions independently of failures and the two are netted; the population never co-generates them (04_apply_errors.sql:125). Simulated under runs ~8% low.</t>
        </is>
      </c>
    </row>
    <row r="43" ht="23.85" customHeight="1" s="38">
      <c r="A43" s="58" t="inlineStr">
        <is>
          <t>C17</t>
        </is>
      </c>
      <c r="B43" s="58" t="inlineStr">
        <is>
          <t>Code review: key assumptions</t>
        </is>
      </c>
      <c r="C43" s="58" t="inlineStr">
        <is>
          <t>Simulation estimate and interval: mean and 2.5th-97.5th percentiles of 1,000 iterations</t>
        </is>
      </c>
      <c r="D43" s="58" t="inlineStr">
        <is>
          <t>Confirm sim_iterations: 1000 and the percentile interval.</t>
        </is>
      </c>
      <c r="E43" s="58" t="inlineStr">
        <is>
          <t>shared/ipsim/simulation.py; */estimation/config.yaml</t>
        </is>
      </c>
      <c r="F43" s="58" t="inlineStr">
        <is>
          <t>1,000 iterations; mean; 2.5th and 97.5th percentiles</t>
        </is>
      </c>
      <c r="G43" s="59" t="inlineStr">
        <is>
          <t>Pass</t>
        </is>
      </c>
      <c r="H43" s="60" t="inlineStr">
        <is>
          <t>2026-10-21</t>
        </is>
      </c>
      <c r="I43" s="59" t="inlineStr">
        <is>
          <t>Claude</t>
        </is>
      </c>
      <c r="J43" s="59" t="inlineStr">
        <is>
          <t>qa/Claude (see RERUN_SUMMARY.md, verification/, review/PEER_REVIEW.md)</t>
        </is>
      </c>
      <c r="K43" s="59" t="n"/>
      <c r="L43" s="59" t="inlineStr">
        <is>
          <t>1,000 iterations; mean; 2.5/97.5 percentiles (linear interpolation).</t>
        </is>
      </c>
    </row>
    <row r="44" ht="35.05" customHeight="1" s="38">
      <c r="A44" s="58" t="inlineStr">
        <is>
          <t>C18</t>
        </is>
      </c>
      <c r="B44" s="58" t="inlineStr">
        <is>
          <t>Code review: key assumptions</t>
        </is>
      </c>
      <c r="C44" s="58" t="inlineStr">
        <is>
          <t>Scoring: coverage, 25 audit years, medians</t>
        </is>
      </c>
      <c r="D44" s="58" t="inlineStr">
        <is>
          <t>Confirm an interval covers if lower &lt;= truth &lt;= upper, undefined intervals count as not covering, and the report uses audit years 1-25 with medians.</t>
        </is>
      </c>
      <c r="E44" s="58" t="inlineStr">
        <is>
          <t>shared/sql/lib/02_estimators.sql (ipm_score); shared/sql/report.sql; shared/report.yaml (audit_years: 25)</t>
        </is>
      </c>
      <c r="F44" s="58" t="inlineStr">
        <is>
          <t>As stated in the README and manuscript Section 3.7</t>
        </is>
      </c>
      <c r="G44" s="59" t="inlineStr">
        <is>
          <t>Pass</t>
        </is>
      </c>
      <c r="H44" s="60" t="inlineStr">
        <is>
          <t>2026-10-21</t>
        </is>
      </c>
      <c r="I44" s="59" t="inlineStr">
        <is>
          <t>Claude</t>
        </is>
      </c>
      <c r="J44" s="59" t="inlineStr">
        <is>
          <t>qa/Claude (see RERUN_SUMMARY.md, verification/, review/PEER_REVIEW.md)</t>
        </is>
      </c>
      <c r="K44" s="59" t="n"/>
      <c r="L44" s="59" t="inlineStr">
        <is>
          <t>As stated. mc_se_coverage uses the observed p and reads 0 at 25/25 (I-15).</t>
        </is>
      </c>
    </row>
    <row r="45" ht="23.85" customHeight="1" s="38">
      <c r="A45" s="58" t="inlineStr">
        <is>
          <t>C19</t>
        </is>
      </c>
      <c r="B45" s="58" t="inlineStr">
        <is>
          <t>Code review: key assumptions</t>
        </is>
      </c>
      <c r="C45" s="58" t="inlineStr">
        <is>
          <t>Part C: population size, payment total and HCC model</t>
        </is>
      </c>
      <c r="D45" s="58" t="inlineStr">
        <is>
          <t>Confirm about 330,000 enrollees (x100), 550 contracts, payment scaled to $388.72B, HCC hierarchies (severe/mild within 10 illustrative families).</t>
        </is>
      </c>
      <c r="E45" s="58" t="inlineStr">
        <is>
          <t>part-c-ipm/errors/config.yaml; part-c-ipm/errors/sql/01-03*.sql</t>
        </is>
      </c>
      <c r="F45" s="58" t="inlineStr">
        <is>
          <t>Matches Appendix B.1</t>
        </is>
      </c>
      <c r="G45" s="59" t="inlineStr">
        <is>
          <t>Pass</t>
        </is>
      </c>
      <c r="H45" s="60" t="inlineStr">
        <is>
          <t>2026-10-21</t>
        </is>
      </c>
      <c r="I45" s="59" t="inlineStr">
        <is>
          <t>Claude</t>
        </is>
      </c>
      <c r="J45" s="59" t="inlineStr">
        <is>
          <t>qa/Claude (see RERUN_SUMMARY.md, verification/, review/PEER_REVIEW.md)</t>
        </is>
      </c>
      <c r="K45" s="59" t="n"/>
      <c r="L45" s="59" t="inlineStr">
        <is>
          <t>Matches B.1.</t>
        </is>
      </c>
    </row>
    <row r="46" ht="46.25" customHeight="1" s="38">
      <c r="A46" s="58" t="inlineStr">
        <is>
          <t>C20</t>
        </is>
      </c>
      <c r="B46" s="58" t="inlineStr">
        <is>
          <t>Code review: key assumptions</t>
        </is>
      </c>
      <c r="C46" s="58" t="inlineStr">
        <is>
          <t>Part C: error mechanisms and calibration targets</t>
        </is>
      </c>
      <c r="D46" s="58" t="inlineStr">
        <is>
          <t>Confirm unsupported HCCs (deleted or moved down), missing documentation, and supported-but-not-coded HCCs (underpayments); targets 5.29% unsupported, 0.22% missing documentation, 0.57% underpayments.</t>
        </is>
      </c>
      <c r="E46" s="58" t="inlineStr">
        <is>
          <t>part-c-ipm/errors/config.yaml (target_*); part-c-ipm/errors/sql/04_apply_errors.sql</t>
        </is>
      </c>
      <c r="F46" s="58" t="inlineStr">
        <is>
          <t>FY 2025 Part C: 6.09% gross, $21.43B over, $2.23B under</t>
        </is>
      </c>
      <c r="G46" s="59" t="inlineStr">
        <is>
          <t>Pass</t>
        </is>
      </c>
      <c r="H46" s="60" t="inlineStr">
        <is>
          <t>2026-10-21</t>
        </is>
      </c>
      <c r="I46" s="59" t="inlineStr">
        <is>
          <t>Claude</t>
        </is>
      </c>
      <c r="J46" s="59" t="inlineStr">
        <is>
          <t>qa/Claude (see RERUN_SUMMARY.md, verification/, review/PEER_REVIEW.md)</t>
        </is>
      </c>
      <c r="K46" s="59" t="n"/>
      <c r="L46" s="59" t="inlineStr">
        <is>
          <t>Targets and mechanisms as stated; checks pass (6.06% vs 6.09%).</t>
        </is>
      </c>
    </row>
    <row r="47" ht="35.05" customHeight="1" s="38">
      <c r="A47" s="58" t="inlineStr">
        <is>
          <t>C21</t>
        </is>
      </c>
      <c r="B47" s="58" t="inlineStr">
        <is>
          <t>Code review: key assumptions</t>
        </is>
      </c>
      <c r="C47" s="58" t="inlineStr">
        <is>
          <t>Part C: audit design (990 enrollees, 330 per risk-score tercile)</t>
        </is>
      </c>
      <c r="D47" s="58" t="inlineStr">
        <is>
          <t>Confirm the estimation allocation. NOTE: the design block in part-c-ipm/errors/config.yaml lists 1,500 per stratum; confirm it is description only and not used by the estimation.</t>
        </is>
      </c>
      <c r="E47" s="58" t="inlineStr">
        <is>
          <t>part-c-ipm/estimation/config.yaml (allocation); part-c-ipm/errors/config.yaml (design)</t>
        </is>
      </c>
      <c r="F47" s="58" t="inlineStr">
        <is>
          <t>330 x 3 used; record the design-block discrepancy as an issue (Minor)</t>
        </is>
      </c>
      <c r="G47" s="59" t="inlineStr">
        <is>
          <t>Fail</t>
        </is>
      </c>
      <c r="H47" s="60" t="inlineStr">
        <is>
          <t>2026-10-21</t>
        </is>
      </c>
      <c r="I47" s="59" t="inlineStr">
        <is>
          <t>Claude</t>
        </is>
      </c>
      <c r="J47" s="59" t="inlineStr">
        <is>
          <t>qa/Claude (see RERUN_SUMMARY.md, verification/, review/PEER_REVIEW.md)</t>
        </is>
      </c>
      <c r="K47" s="59" t="inlineStr">
        <is>
          <t>I-01</t>
        </is>
      </c>
      <c r="L47" s="59" t="inlineStr">
        <is>
          <t>Confirmed: errors/config.yaml design block lists 1,500 per stratum; estimation uses 330 x 3 = 990. Metadata only.</t>
        </is>
      </c>
    </row>
    <row r="48" ht="35.05" customHeight="1" s="38">
      <c r="A48" s="58" t="inlineStr">
        <is>
          <t>C22</t>
        </is>
      </c>
      <c r="B48" s="58" t="inlineStr">
        <is>
          <t>Code review: key assumptions</t>
        </is>
      </c>
      <c r="C48" s="58" t="inlineStr">
        <is>
          <t>Part C: expansion in risk-score units; simulation donors are HCCs</t>
        </is>
      </c>
      <c r="D48" s="58" t="inlineStr">
        <is>
          <t>Confirm expansion = mean risk-score error x tercile size x national mean county rate x months; simulation uses 20 HCC failure rates and 10 family addition rates, never extrapolating to unaudited HCCs.</t>
        </is>
      </c>
      <c r="E48" s="58" t="inlineStr">
        <is>
          <t>part-c-ipm/estimation/sql/10_expansion.sql; part-c-ipm/estimation/simulation.py; sql/40_simulation_inputs.sql</t>
        </is>
      </c>
      <c r="F48" s="58" t="inlineStr">
        <is>
          <t>Matches Appendix B.1</t>
        </is>
      </c>
      <c r="G48" s="59" t="inlineStr">
        <is>
          <t>Fail</t>
        </is>
      </c>
      <c r="H48" s="60" t="inlineStr">
        <is>
          <t>2026-10-21</t>
        </is>
      </c>
      <c r="I48" s="59" t="inlineStr">
        <is>
          <t>Claude</t>
        </is>
      </c>
      <c r="J48" s="59" t="inlineStr">
        <is>
          <t>qa/Claude (see RERUN_SUMMARY.md, verification/, review/PEER_REVIEW.md)</t>
        </is>
      </c>
      <c r="K48" s="59" t="inlineStr">
        <is>
          <t>I-10</t>
        </is>
      </c>
      <c r="L48" s="59" t="inlineStr">
        <is>
          <t>Expansion and donor structure as described. Note B.1 says mean loss (correct) while §3.5/§3.6/A.5 say uniform draw; §5.3 says two draws per stratum (Part C: 30 draws per iteration).</t>
        </is>
      </c>
    </row>
    <row r="49" ht="35.05" customHeight="1" s="38">
      <c r="A49" s="58" t="inlineStr">
        <is>
          <t>C23</t>
        </is>
      </c>
      <c r="B49" s="58" t="inlineStr">
        <is>
          <t>Code review: key assumptions</t>
        </is>
      </c>
      <c r="C49" s="58" t="inlineStr">
        <is>
          <t>Part D: post-IRA CY 2025 benefit parameters</t>
        </is>
      </c>
      <c r="D49" s="58" t="inlineStr">
        <is>
          <t>Confirm $590 deductible, $2,000 out-of-pocket threshold, 25% initial coinsurance, manufacturer 10%/20% (brand), reinsurance 20% brand/40% generic, LIS copays $4.90/$12.15.</t>
        </is>
      </c>
      <c r="E49" s="58" t="inlineStr">
        <is>
          <t>part-d-ipm/errors/config.yaml; part-d-ipm/errors/sql/05_benefit.sql</t>
        </is>
      </c>
      <c r="F49" s="58" t="inlineStr">
        <is>
          <t>Matches Appendix B.2 and CMS CY 2025 parameters</t>
        </is>
      </c>
      <c r="G49" s="59" t="inlineStr">
        <is>
          <t>Pass</t>
        </is>
      </c>
      <c r="H49" s="60" t="inlineStr">
        <is>
          <t>2026-10-21</t>
        </is>
      </c>
      <c r="I49" s="59" t="inlineStr">
        <is>
          <t>Claude</t>
        </is>
      </c>
      <c r="J49" s="59" t="inlineStr">
        <is>
          <t>qa/Claude (see RERUN_SUMMARY.md, verification/, review/PEER_REVIEW.md)</t>
        </is>
      </c>
      <c r="K49" s="59" t="n"/>
      <c r="L49" s="59" t="inlineStr">
        <is>
          <t>All CY 2025 parameters correct. Simplifications not stated: all LIS pay $4.90/$12.15; MDP affects plan liability only (I-11).</t>
        </is>
      </c>
    </row>
    <row r="50" ht="35.05" customHeight="1" s="38">
      <c r="A50" s="58" t="inlineStr">
        <is>
          <t>C24</t>
        </is>
      </c>
      <c r="B50" s="58" t="inlineStr">
        <is>
          <t>Code review: key assumptions</t>
        </is>
      </c>
      <c r="C50" s="58" t="inlineStr">
        <is>
          <t>Part D: error rates and sizes (not calibrated)</t>
        </is>
      </c>
      <c r="D50" s="58" t="inlineStr">
        <is>
          <t>Confirm 10% of LTC PDEs and 2.5% of other PDEs in error; 90% full (GDC to 0), 10% partial uniform on [-100%, 100%). Truth 1.38% (published FY 2025 rate 4.00% is intentionally not targeted).</t>
        </is>
      </c>
      <c r="E50" s="58" t="inlineStr">
        <is>
          <t>part-d-ipm/errors/config.yaml; part-d-ipm/errors/sql/02_candidate_errors.sql, 04_apply_errors.sql</t>
        </is>
      </c>
      <c r="F50" s="58" t="inlineStr">
        <is>
          <t>Matches Appendix B.2</t>
        </is>
      </c>
      <c r="G50" s="59" t="inlineStr">
        <is>
          <t>Pass</t>
        </is>
      </c>
      <c r="H50" s="60" t="inlineStr">
        <is>
          <t>2026-10-21</t>
        </is>
      </c>
      <c r="I50" s="59" t="inlineStr">
        <is>
          <t>Claude</t>
        </is>
      </c>
      <c r="J50" s="59" t="inlineStr">
        <is>
          <t>qa/Claude (see RERUN_SUMMARY.md, verification/, review/PEER_REVIEW.md)</t>
        </is>
      </c>
      <c r="K50" s="59" t="n"/>
      <c r="L50" s="59" t="inlineStr">
        <is>
          <t>As stated.</t>
        </is>
      </c>
    </row>
    <row r="51" ht="23.85" customHeight="1" s="38">
      <c r="A51" s="58" t="inlineStr">
        <is>
          <t>C25</t>
        </is>
      </c>
      <c r="B51" s="58" t="inlineStr">
        <is>
          <t>Code review: key assumptions</t>
        </is>
      </c>
      <c r="C51" s="58" t="inlineStr">
        <is>
          <t>Part D: numpy payment function reproduces the SQL benefit to the cent</t>
        </is>
      </c>
      <c r="D51" s="58" t="inlineStr">
        <is>
          <t>Confirm the test exists and passed in stage 7.</t>
        </is>
      </c>
      <c r="E51" s="58" t="inlineStr">
        <is>
          <t>shared/tests/test_simulation.py; part-d-ipm/estimation/simulation.py</t>
        </is>
      </c>
      <c r="F51" s="58" t="inlineStr">
        <is>
          <t>Test present and passing</t>
        </is>
      </c>
      <c r="G51" s="59" t="inlineStr">
        <is>
          <t>Pass</t>
        </is>
      </c>
      <c r="H51" s="60" t="inlineStr">
        <is>
          <t>2026-10-21</t>
        </is>
      </c>
      <c r="I51" s="59" t="inlineStr">
        <is>
          <t>Claude</t>
        </is>
      </c>
      <c r="J51" s="59" t="inlineStr">
        <is>
          <t>qa/Claude (see RERUN_SUMMARY.md, verification/, review/PEER_REVIEW.md)</t>
        </is>
      </c>
      <c r="K51" s="59" t="n"/>
      <c r="L51" s="59" t="inlineStr">
        <is>
          <t>Present and passing.</t>
        </is>
      </c>
    </row>
    <row r="52" ht="35.05" customHeight="1" s="38">
      <c r="A52" s="58" t="inlineStr">
        <is>
          <t>C26</t>
        </is>
      </c>
      <c r="B52" s="58" t="inlineStr">
        <is>
          <t>Code review: key assumptions</t>
        </is>
      </c>
      <c r="C52" s="58" t="inlineStr">
        <is>
          <t>Part D: two audits and the expansion delta-method interval</t>
        </is>
      </c>
      <c r="D52" s="58" t="inlineStr">
        <is>
          <t>Confirm the 990-beneficiary SRS (ratio, regression) and the 5,000-PDE Neyman audit in 3 strata (expansion, simulation); expansion interval moves each stratum rate +/-1 SE and reruns the benefit.</t>
        </is>
      </c>
      <c r="E52" s="58" t="inlineStr">
        <is>
          <t>part-d-ipm/estimation/config.yaml; sql/40_simulation_inputs.sql; simulation.py (run_expansion)</t>
        </is>
      </c>
      <c r="F52" s="58" t="inlineStr">
        <is>
          <t>Matches Appendix B.2</t>
        </is>
      </c>
      <c r="G52" s="59" t="inlineStr">
        <is>
          <t>Fail</t>
        </is>
      </c>
      <c r="H52" s="60" t="inlineStr">
        <is>
          <t>2026-10-21</t>
        </is>
      </c>
      <c r="I52" s="59" t="inlineStr">
        <is>
          <t>Claude</t>
        </is>
      </c>
      <c r="J52" s="59" t="inlineStr">
        <is>
          <t>qa/Claude (see RERUN_SUMMARY.md, verification/, review/PEER_REVIEW.md)</t>
        </is>
      </c>
      <c r="K52" s="59" t="inlineStr">
        <is>
          <t>I-05</t>
        </is>
      </c>
      <c r="L52" s="59" t="inlineStr">
        <is>
          <t>Two audits as documented (990 SRS; 5,000 PDE Neyman, 3 strata). The 990-beneficiary audit reviews every PDE (~41,000 PDEs), and the PDE-audit expansion is a uniform-haircut plug-in (simulation.py:228) whose delta-method SE understates its own SD (0.37 vs 0.54 pts).</t>
        </is>
      </c>
    </row>
    <row r="53" ht="35.05" customHeight="1" s="38">
      <c r="A53" s="58" t="inlineStr">
        <is>
          <t>C27</t>
        </is>
      </c>
      <c r="B53" s="58" t="inlineStr">
        <is>
          <t>Code review: key assumptions</t>
        </is>
      </c>
      <c r="C53" s="58" t="inlineStr">
        <is>
          <t>Part D pre-IRA: CY 2023 benefit parameters</t>
        </is>
      </c>
      <c r="D53" s="58" t="inlineStr">
        <is>
          <t>Confirm $505 deductible, $4,660 initial coverage limit, $7,400 TrOOP threshold, 70% coverage-gap discount, 80% catastrophic reinsurance, LIS copays $4.15/$10.35.</t>
        </is>
      </c>
      <c r="E53" s="58" t="inlineStr">
        <is>
          <t>part-d-ipm/errors/pre_ira.yaml; part-d-ipm/errors/sql/05_benefit_pre_ira.sql</t>
        </is>
      </c>
      <c r="F53" s="58" t="inlineStr">
        <is>
          <t>Matches part-d-ipm/pre-ira-reference.md</t>
        </is>
      </c>
      <c r="G53" s="59" t="inlineStr">
        <is>
          <t>Pass</t>
        </is>
      </c>
      <c r="H53" s="60" t="inlineStr">
        <is>
          <t>2026-10-21</t>
        </is>
      </c>
      <c r="I53" s="59" t="inlineStr">
        <is>
          <t>Claude</t>
        </is>
      </c>
      <c r="J53" s="59" t="inlineStr">
        <is>
          <t>qa/Claude (see RERUN_SUMMARY.md, verification/, review/PEER_REVIEW.md)</t>
        </is>
      </c>
      <c r="K53" s="59" t="n"/>
      <c r="L53" s="59" t="inlineStr">
        <is>
          <t>Matches pre-ira-reference.md.</t>
        </is>
      </c>
    </row>
    <row r="54" ht="35.05" customHeight="1" s="38">
      <c r="A54" s="58" t="inlineStr">
        <is>
          <t>C28</t>
        </is>
      </c>
      <c r="B54" s="58" t="inlineStr">
        <is>
          <t>Code review: key assumptions</t>
        </is>
      </c>
      <c r="C54" s="58" t="inlineStr">
        <is>
          <t>PERM: states, error rates and federal share</t>
        </is>
      </c>
      <c r="D54" s="58" t="inlineStr">
        <is>
          <t>Confirm 9 states with eligibility rates on a 2.00%-4.00% grid; FFS claims errors 6.5% (70% all-or-nothing, 30% partial), MC 0.3%; rates at federal share (sum y x FMAP / sum x x FMAP).</t>
        </is>
      </c>
      <c r="E54" s="58" t="inlineStr">
        <is>
          <t>perm-cert/errors/perm.yaml; perm-cert/errors/sql/perm_02*.sql, perm_03*.sql</t>
        </is>
      </c>
      <c r="F54" s="58" t="inlineStr">
        <is>
          <t>Matches Appendix B.3; pooled about 6.12%</t>
        </is>
      </c>
      <c r="G54" s="59" t="inlineStr">
        <is>
          <t>Pass</t>
        </is>
      </c>
      <c r="H54" s="60" t="inlineStr">
        <is>
          <t>2026-10-21</t>
        </is>
      </c>
      <c r="I54" s="59" t="inlineStr">
        <is>
          <t>Claude</t>
        </is>
      </c>
      <c r="J54" s="59" t="inlineStr">
        <is>
          <t>qa/Claude (see RERUN_SUMMARY.md, verification/, review/PEER_REVIEW.md)</t>
        </is>
      </c>
      <c r="K54" s="59" t="n"/>
      <c r="L54" s="59" t="inlineStr">
        <is>
          <t>Matches B.3; pooled 6.09%.</t>
        </is>
      </c>
    </row>
    <row r="55" ht="23.85" customHeight="1" s="38">
      <c r="A55" s="58" t="inlineStr">
        <is>
          <t>C29</t>
        </is>
      </c>
      <c r="B55" s="58" t="inlineStr">
        <is>
          <t>Code review: key assumptions</t>
        </is>
      </c>
      <c r="C55" s="58" t="inlineStr">
        <is>
          <t>PERM: gross combines eligibility and claims errors without double counting</t>
        </is>
      </c>
      <c r="D55" s="58" t="inlineStr">
        <is>
          <t>Confirm gross = whole payment if the beneficiary is ineligible, otherwise the claims error.</t>
        </is>
      </c>
      <c r="E55" s="58" t="inlineStr">
        <is>
          <t>perm-cert/errors/sql/perm_04_truth.sql</t>
        </is>
      </c>
      <c r="F55" s="58" t="inlineStr">
        <is>
          <t>Claims + eligibility - overlap</t>
        </is>
      </c>
      <c r="G55" s="59" t="inlineStr">
        <is>
          <t>Pass</t>
        </is>
      </c>
      <c r="H55" s="60" t="inlineStr">
        <is>
          <t>2026-10-21</t>
        </is>
      </c>
      <c r="I55" s="59" t="inlineStr">
        <is>
          <t>Claude</t>
        </is>
      </c>
      <c r="J55" s="59" t="inlineStr">
        <is>
          <t>qa/Claude (see RERUN_SUMMARY.md, verification/, review/PEER_REVIEW.md)</t>
        </is>
      </c>
      <c r="K55" s="59" t="n"/>
      <c r="L55" s="59" t="inlineStr">
        <is>
          <t>Gross = whole payment if ineligible, else claims error.</t>
        </is>
      </c>
    </row>
    <row r="56" ht="46.25" customHeight="1" s="38">
      <c r="A56" s="58" t="inlineStr">
        <is>
          <t>C30</t>
        </is>
      </c>
      <c r="B56" s="58" t="inlineStr">
        <is>
          <t>Code review: key assumptions</t>
        </is>
      </c>
      <c r="C56" s="58" t="inlineStr">
        <is>
          <t>PERM: audit design and national pooling</t>
        </is>
      </c>
      <c r="D56" s="58" t="inlineStr">
        <is>
          <t>Confirm 520 payments per state, 10 strata (payment type x 5 quintiles), Neyman, systematic selection after sorting by amount; national pooling adds dollars and variances (analytic) and sums iteration totals (simulation).</t>
        </is>
      </c>
      <c r="E56" s="58" t="inlineStr">
        <is>
          <t>perm-cert/estimation/perm.yaml; shared/sql/sample_systematic.sql; perm-cert/estimation/sql/perm_95_national.sql</t>
        </is>
      </c>
      <c r="F56" s="58" t="inlineStr">
        <is>
          <t>Matches Appendix B.3</t>
        </is>
      </c>
      <c r="G56" s="59" t="inlineStr">
        <is>
          <t>Fail</t>
        </is>
      </c>
      <c r="H56" s="60" t="inlineStr">
        <is>
          <t>2026-10-21</t>
        </is>
      </c>
      <c r="I56" s="59" t="inlineStr">
        <is>
          <t>Claude</t>
        </is>
      </c>
      <c r="J56" s="59" t="inlineStr">
        <is>
          <t>qa/Claude (see RERUN_SUMMARY.md, verification/, review/PEER_REVIEW.md)</t>
        </is>
      </c>
      <c r="K56" s="59" t="inlineStr">
        <is>
          <t>I-09</t>
        </is>
      </c>
      <c r="L56" s="59" t="inlineStr">
        <is>
          <t>Code matches Appendix B.3 (520, 10 strata type x quintile, Neyman, systematic, national pooling correct). perm-cert/README.md:17, perm.yaml:46 and data_dictionary.md:110 describe quarter x equal-dollar strata instead. Also I-18: eligibility is a whole-year attribute propagated to all of a beneficiary's payments.</t>
        </is>
      </c>
    </row>
    <row r="57" ht="35.05" customHeight="1" s="38">
      <c r="A57" s="58" t="inlineStr">
        <is>
          <t>C31</t>
        </is>
      </c>
      <c r="B57" s="58" t="inlineStr">
        <is>
          <t>Code review: key assumptions</t>
        </is>
      </c>
      <c r="C57" s="58" t="inlineStr">
        <is>
          <t>EIPM: overpayments only; technical and monetary errors</t>
        </is>
      </c>
      <c r="D57" s="58" t="inlineStr">
        <is>
          <t>Confirm no underpayments; technical errors (whole APTC) are 48% of improper dollars; monetary errors raise supported income by a lognormal factor and recompute APTC; target 0.89%.</t>
        </is>
      </c>
      <c r="E57" s="58" t="inlineStr">
        <is>
          <t>eipm/errors/config.yaml; eipm/errors/sql/02_apply_errors.sql</t>
        </is>
      </c>
      <c r="F57" s="58" t="inlineStr">
        <is>
          <t>Matches Appendix B.4</t>
        </is>
      </c>
      <c r="G57" s="59" t="inlineStr">
        <is>
          <t>Pass</t>
        </is>
      </c>
      <c r="H57" s="60" t="inlineStr">
        <is>
          <t>2026-10-21</t>
        </is>
      </c>
      <c r="I57" s="59" t="inlineStr">
        <is>
          <t>Claude</t>
        </is>
      </c>
      <c r="J57" s="59" t="inlineStr">
        <is>
          <t>qa/Claude (see RERUN_SUMMARY.md, verification/, review/PEER_REVIEW.md)</t>
        </is>
      </c>
      <c r="K57" s="59" t="n"/>
      <c r="L57" s="59" t="inlineStr">
        <is>
          <t>Matches B.4.</t>
        </is>
      </c>
    </row>
    <row r="58" ht="23.85" customHeight="1" s="38">
      <c r="A58" s="58" t="inlineStr">
        <is>
          <t>C32</t>
        </is>
      </c>
      <c r="B58" s="58" t="inlineStr">
        <is>
          <t>Code review: key assumptions</t>
        </is>
      </c>
      <c r="C58" s="58" t="inlineStr">
        <is>
          <t>EIPM: APTC schedule and simulation income clipping</t>
        </is>
      </c>
      <c r="D58" s="58" t="inlineStr">
        <is>
          <t>Confirm the enhanced applicable-percentage schedule (0% to 8.5%) and that simulated incomes are clipped to 100-600% FPL.</t>
        </is>
      </c>
      <c r="E58" s="58" t="inlineStr">
        <is>
          <t>eipm/errors/config.yaml (applicable_schedule); eipm/estimation/simulation.py</t>
        </is>
      </c>
      <c r="F58" s="58" t="inlineStr">
        <is>
          <t>As stated</t>
        </is>
      </c>
      <c r="G58" s="59" t="inlineStr">
        <is>
          <t>Pass</t>
        </is>
      </c>
      <c r="H58" s="60" t="inlineStr">
        <is>
          <t>2026-10-21</t>
        </is>
      </c>
      <c r="I58" s="59" t="inlineStr">
        <is>
          <t>Claude</t>
        </is>
      </c>
      <c r="J58" s="59" t="inlineStr">
        <is>
          <t>qa/Claude (see RERUN_SUMMARY.md, verification/, review/PEER_REVIEW.md)</t>
        </is>
      </c>
      <c r="K58" s="59" t="n"/>
      <c r="L58" s="59" t="inlineStr">
        <is>
          <t>Schedule and 100-600% FPL clipping confirmed.</t>
        </is>
      </c>
    </row>
    <row r="59" ht="23.85" customHeight="1" s="38">
      <c r="A59" s="58" t="inlineStr">
        <is>
          <t>C33</t>
        </is>
      </c>
      <c r="B59" s="58" t="inlineStr">
        <is>
          <t>Code review: key assumptions</t>
        </is>
      </c>
      <c r="C59" s="58" t="inlineStr">
        <is>
          <t>EIPM: audit design</t>
        </is>
      </c>
      <c r="D59" s="58" t="inlineStr">
        <is>
          <t>Confirm stratified SRS of 2,000 applications, Neyman over 5 APTC quintiles (illustrative strata).</t>
        </is>
      </c>
      <c r="E59" s="58" t="inlineStr">
        <is>
          <t>eipm/estimation/config.yaml; eipm/estimation/sql/01_frame.sql</t>
        </is>
      </c>
      <c r="F59" s="58" t="inlineStr">
        <is>
          <t>Matches Appendix B.4</t>
        </is>
      </c>
      <c r="G59" s="59" t="inlineStr">
        <is>
          <t>Pass</t>
        </is>
      </c>
      <c r="H59" s="60" t="inlineStr">
        <is>
          <t>2026-10-21</t>
        </is>
      </c>
      <c r="I59" s="59" t="inlineStr">
        <is>
          <t>Claude</t>
        </is>
      </c>
      <c r="J59" s="59" t="inlineStr">
        <is>
          <t>qa/Claude (see RERUN_SUMMARY.md, verification/, review/PEER_REVIEW.md)</t>
        </is>
      </c>
      <c r="K59" s="59" t="n"/>
      <c r="L59" s="59" t="inlineStr">
        <is>
          <t>Matches B.4.</t>
        </is>
      </c>
    </row>
    <row r="60" ht="35.05" customHeight="1" s="38">
      <c r="A60" s="58" t="inlineStr">
        <is>
          <t>C34</t>
        </is>
      </c>
      <c r="B60" s="58" t="inlineStr">
        <is>
          <t>Code review: key assumptions</t>
        </is>
      </c>
      <c r="C60" s="58" t="inlineStr">
        <is>
          <t>CERT: claim types and payments</t>
        </is>
      </c>
      <c r="D60" s="58" t="inlineStr">
        <is>
          <t>Confirm 4 claim types (IPPS 40,000; Part A other 900,000; Part B 4,000,000; DMEPOS 400,000 synthetic claims) scaled to $118.5B, $197.9B, $114.1B, $9.4B ($439.9B).</t>
        </is>
      </c>
      <c r="E60" s="58" t="inlineStr">
        <is>
          <t>perm-cert/errors/cert.yaml; perm-cert/errors/sql/cert_01_population.sql</t>
        </is>
      </c>
      <c r="F60" s="58" t="inlineStr">
        <is>
          <t>Matches Appendix B.5</t>
        </is>
      </c>
      <c r="G60" s="59" t="inlineStr">
        <is>
          <t>Pass</t>
        </is>
      </c>
      <c r="H60" s="60" t="inlineStr">
        <is>
          <t>2026-10-21</t>
        </is>
      </c>
      <c r="I60" s="59" t="inlineStr">
        <is>
          <t>Claude</t>
        </is>
      </c>
      <c r="J60" s="59" t="inlineStr">
        <is>
          <t>qa/Claude (see RERUN_SUMMARY.md, verification/, review/PEER_REVIEW.md)</t>
        </is>
      </c>
      <c r="K60" s="59" t="n"/>
      <c r="L60" s="59" t="inlineStr">
        <is>
          <t>Matches B.5.</t>
        </is>
      </c>
    </row>
    <row r="61" ht="35.05" customHeight="1" s="38">
      <c r="A61" s="58" t="inlineStr">
        <is>
          <t>C35</t>
        </is>
      </c>
      <c r="B61" s="58" t="inlineStr">
        <is>
          <t>Code review: key assumptions</t>
        </is>
      </c>
      <c r="C61" s="58" t="inlineStr">
        <is>
          <t>CERT: error mix and calibration</t>
        </is>
      </c>
      <c r="D61" s="58" t="inlineStr">
        <is>
          <t>Confirm whole-claim overpayments 92% of overpayment dollars, partial 8% (5-60% of payment), underpayments 5-50%; per-type closed-form rates from FY 2025 dollars.</t>
        </is>
      </c>
      <c r="E61" s="58" t="inlineStr">
        <is>
          <t>perm-cert/errors/cert.yaml; perm-cert/errors/sql/cert_02_apply_errors.sql</t>
        </is>
      </c>
      <c r="F61" s="58" t="inlineStr">
        <is>
          <t>Truth 6.50% gross (published 6.55%); $0.92B under</t>
        </is>
      </c>
      <c r="G61" s="59" t="inlineStr">
        <is>
          <t>Pass</t>
        </is>
      </c>
      <c r="H61" s="60" t="inlineStr">
        <is>
          <t>2026-10-21</t>
        </is>
      </c>
      <c r="I61" s="59" t="inlineStr">
        <is>
          <t>Claude</t>
        </is>
      </c>
      <c r="J61" s="59" t="inlineStr">
        <is>
          <t>qa/Claude (see RERUN_SUMMARY.md, verification/, review/PEER_REVIEW.md)</t>
        </is>
      </c>
      <c r="K61" s="59" t="n"/>
      <c r="L61" s="59" t="inlineStr">
        <is>
          <t>Checks pass: 6.50% vs 6.55%; $0.92B under.</t>
        </is>
      </c>
    </row>
    <row r="62" ht="35.05" customHeight="1" s="38">
      <c r="A62" s="58" t="inlineStr">
        <is>
          <t>C36</t>
        </is>
      </c>
      <c r="B62" s="58" t="inlineStr">
        <is>
          <t>Code review: key assumptions</t>
        </is>
      </c>
      <c r="C62" s="58" t="inlineStr">
        <is>
          <t>CERT: audit design</t>
        </is>
      </c>
      <c r="D62" s="58" t="inlineStr">
        <is>
          <t>Confirm 37,651 claims (IPPS 8,750; Part A other 8,651; Part B 11,600; DMEPOS 8,650), Neyman across 5 payment quintiles within type; no MAC jurisdictions; no A-to-B rebilling.</t>
        </is>
      </c>
      <c r="E62" s="58" t="inlineStr">
        <is>
          <t>perm-cert/estimation/cert.yaml; sql/cert_01_frame.sql, cert_02_sample.sql</t>
        </is>
      </c>
      <c r="F62" s="58" t="inlineStr">
        <is>
          <t>Matches Appendix B.5</t>
        </is>
      </c>
      <c r="G62" s="59" t="inlineStr">
        <is>
          <t>Pass</t>
        </is>
      </c>
      <c r="H62" s="60" t="inlineStr">
        <is>
          <t>2026-10-21</t>
        </is>
      </c>
      <c r="I62" s="59" t="inlineStr">
        <is>
          <t>Claude</t>
        </is>
      </c>
      <c r="J62" s="59" t="inlineStr">
        <is>
          <t>qa/Claude (see RERUN_SUMMARY.md, verification/, review/PEER_REVIEW.md)</t>
        </is>
      </c>
      <c r="K62" s="59" t="n"/>
      <c r="L62" s="59" t="inlineStr">
        <is>
          <t>Matches B.5.</t>
        </is>
      </c>
    </row>
    <row r="63" ht="23.85" customHeight="1" s="38">
      <c r="A63" s="58" t="inlineStr">
        <is>
          <t>C37</t>
        </is>
      </c>
      <c r="B63" s="58" t="inlineStr">
        <is>
          <t>Code review: key assumptions</t>
        </is>
      </c>
      <c r="C63" s="58" t="inlineStr">
        <is>
          <t>Audit-size projection formula</t>
        </is>
      </c>
      <c r="D63" s="58" t="inlineStr">
        <is>
          <t>Confirm the share of the current audit = (parametric half-width / analytic half-width) squared.</t>
        </is>
      </c>
      <c r="E63" s="58" t="inlineStr">
        <is>
          <t>manuscripts/scripts/build_tables.py</t>
        </is>
      </c>
      <c r="F63" s="58" t="inlineStr">
        <is>
          <t>Matches manuscript Sections 3.7 and 5.2</t>
        </is>
      </c>
      <c r="G63" s="59" t="inlineStr">
        <is>
          <t>Fail</t>
        </is>
      </c>
      <c r="H63" s="60" t="inlineStr">
        <is>
          <t>2026-10-21</t>
        </is>
      </c>
      <c r="I63" s="59" t="inlineStr">
        <is>
          <t>Claude</t>
        </is>
      </c>
      <c r="J63" s="59" t="inlineStr">
        <is>
          <t>qa/Claude (see RERUN_SUMMARY.md, verification/, review/PEER_REVIEW.md)</t>
        </is>
      </c>
      <c r="K63" s="59" t="inlineStr">
        <is>
          <t>I-03</t>
        </is>
      </c>
      <c r="L63" s="59" t="inlineStr">
        <is>
          <t>Formula implemented as stated (build_tables.py). The inputs are questionable: the parametric half-width appears ~7-10% below the simulation estimator's true SD in Part C and EIPM, so the projected shares (79%, 80%) are understated.</t>
        </is>
      </c>
    </row>
    <row r="64" ht="15" customHeight="1" s="38">
      <c r="A64" s="57" t="inlineStr">
        <is>
          <t>D. Results: represented correctly</t>
        </is>
      </c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</row>
    <row r="65" ht="46.25" customHeight="1" s="38">
      <c r="A65" s="58" t="inlineStr">
        <is>
          <t>D1</t>
        </is>
      </c>
      <c r="B65" s="58" t="inlineStr">
        <is>
          <t>Results: represented correctly</t>
        </is>
      </c>
      <c r="C65" s="58" t="inlineStr">
        <is>
          <t>Main README: gross improper payments (dollars) table</t>
        </is>
      </c>
      <c r="D65" s="58" t="inlineStr">
        <is>
          <t>For each program and method, compare True / Estimated / Upper / Lower with by_scenario.csv (domain ending in 'gross'; PERM and CERT 'national' rows): true_improper_usd, median_estimate_usd, median_upper_usd, median_lower_usd.</t>
        </is>
      </c>
      <c r="E65" s="58" t="inlineStr">
        <is>
          <t>README.md (Results); shared/results/report/by_scenario.csv</t>
        </is>
      </c>
      <c r="F65" s="58" t="inlineStr">
        <is>
          <t>Every value matches after rounding to $0.01B</t>
        </is>
      </c>
      <c r="G65" s="59" t="inlineStr">
        <is>
          <t>Pass</t>
        </is>
      </c>
      <c r="H65" s="60" t="inlineStr">
        <is>
          <t>2026-10-21</t>
        </is>
      </c>
      <c r="I65" s="59" t="inlineStr">
        <is>
          <t>Claude</t>
        </is>
      </c>
      <c r="J65" s="59" t="inlineStr">
        <is>
          <t>qa/Claude (see RERUN_SUMMARY.md, verification/, review/PEER_REVIEW.md)</t>
        </is>
      </c>
      <c r="K65" s="59" t="n"/>
      <c r="L65" s="59" t="inlineStr">
        <is>
          <t>All 20 rows match by_scenario.csv after rounding.</t>
        </is>
      </c>
    </row>
    <row r="66" ht="23.85" customHeight="1" s="38">
      <c r="A66" s="58" t="inlineStr">
        <is>
          <t>D2</t>
        </is>
      </c>
      <c r="B66" s="58" t="inlineStr">
        <is>
          <t>Results: represented correctly</t>
        </is>
      </c>
      <c r="C66" s="58" t="inlineStr">
        <is>
          <t>Main README: gross improper payment rates table</t>
        </is>
      </c>
      <c r="D66" s="58" t="inlineStr">
        <is>
          <t>Same comparison using true_rate, median_estimate, median_upper, median_lower.</t>
        </is>
      </c>
      <c r="E66" s="58" t="inlineStr">
        <is>
          <t>README.md (Results); shared/results/report/by_scenario.csv</t>
        </is>
      </c>
      <c r="F66" s="58" t="inlineStr">
        <is>
          <t>Every value matches after rounding to 0.01%</t>
        </is>
      </c>
      <c r="G66" s="59" t="inlineStr">
        <is>
          <t>Pass</t>
        </is>
      </c>
      <c r="H66" s="60" t="inlineStr">
        <is>
          <t>2026-10-21</t>
        </is>
      </c>
      <c r="I66" s="59" t="inlineStr">
        <is>
          <t>Claude</t>
        </is>
      </c>
      <c r="J66" s="59" t="inlineStr">
        <is>
          <t>qa/Claude (see RERUN_SUMMARY.md, verification/, review/PEER_REVIEW.md)</t>
        </is>
      </c>
      <c r="K66" s="59" t="n"/>
      <c r="L66" s="59" t="inlineStr">
        <is>
          <t>All 20 rows match.</t>
        </is>
      </c>
    </row>
    <row r="67" ht="35.05" customHeight="1" s="38">
      <c r="A67" s="58" t="inlineStr">
        <is>
          <t>D3</t>
        </is>
      </c>
      <c r="B67" s="58" t="inlineStr">
        <is>
          <t>Results: represented correctly</t>
        </is>
      </c>
      <c r="C67" s="58" t="inlineStr">
        <is>
          <t>Main README: Findings and recommendations numbers</t>
        </is>
      </c>
      <c r="D67" s="58" t="inlineStr">
        <is>
          <t>Check 121/125 (96.8%), 111/125, 108/125, 30/125, 11-21% narrower, 63%, 1.5-6.6% and 16.6% MAE, 19-20 of 25, 15 of 25, and 20-38% smaller audits against the tables.</t>
        </is>
      </c>
      <c r="E67" s="58" t="inlineStr">
        <is>
          <t>README.md (Findings); manuscripts/generated/tables.md; results_long.csv</t>
        </is>
      </c>
      <c r="F67" s="58" t="inlineStr">
        <is>
          <t>Every number traceable to a table</t>
        </is>
      </c>
      <c r="G67" s="59" t="inlineStr">
        <is>
          <t>Pass</t>
        </is>
      </c>
      <c r="H67" s="60" t="inlineStr">
        <is>
          <t>2026-10-21</t>
        </is>
      </c>
      <c r="I67" s="59" t="inlineStr">
        <is>
          <t>Claude</t>
        </is>
      </c>
      <c r="J67" s="59" t="inlineStr">
        <is>
          <t>qa/Claude (see RERUN_SUMMARY.md, verification/, review/PEER_REVIEW.md)</t>
        </is>
      </c>
      <c r="K67" s="59" t="n"/>
      <c r="L67" s="59" t="inlineStr">
        <is>
          <t>Every number traceable (121/125, 30/125, 111, 108, width ratios 89/89/79/79/37%, audit shares 79/80/63/62%, MAE 1.5-6.6% and 16.6%).</t>
        </is>
      </c>
    </row>
    <row r="68" ht="23.85" customHeight="1" s="38">
      <c r="A68" s="58" t="inlineStr">
        <is>
          <t>D4</t>
        </is>
      </c>
      <c r="B68" s="58" t="inlineStr">
        <is>
          <t>Results: represented correctly</t>
        </is>
      </c>
      <c r="C68" s="58" t="inlineStr">
        <is>
          <t>Program READMEs: results tables</t>
        </is>
      </c>
      <c r="D68" s="58" t="inlineStr">
        <is>
          <t>For each program README, compare the Dollars, Rates and coverage tables with by_scenario.csv.</t>
        </is>
      </c>
      <c r="E68" s="58" t="inlineStr">
        <is>
          <t>part-c-ipm, part-d-ipm, eipm, perm-cert README.md; by_scenario.csv</t>
        </is>
      </c>
      <c r="F68" s="58" t="inlineStr">
        <is>
          <t>All values match</t>
        </is>
      </c>
      <c r="G68" s="59" t="inlineStr">
        <is>
          <t>Pass</t>
        </is>
      </c>
      <c r="H68" s="60" t="inlineStr">
        <is>
          <t>2026-10-21</t>
        </is>
      </c>
      <c r="I68" s="59" t="inlineStr">
        <is>
          <t>Claude</t>
        </is>
      </c>
      <c r="J68" s="59" t="inlineStr">
        <is>
          <t>qa/Claude (see RERUN_SUMMARY.md, verification/, review/PEER_REVIEW.md)</t>
        </is>
      </c>
      <c r="K68" s="59" t="n"/>
      <c r="L68" s="59" t="inlineStr">
        <is>
          <t>Program README tables match by_scenario.csv.</t>
        </is>
      </c>
    </row>
    <row r="69" ht="23.85" customHeight="1" s="38">
      <c r="A69" s="58" t="inlineStr">
        <is>
          <t>D5</t>
        </is>
      </c>
      <c r="B69" s="58" t="inlineStr">
        <is>
          <t>Results: represented correctly</t>
        </is>
      </c>
      <c r="C69" s="58" t="inlineStr">
        <is>
          <t>Manuscript tables match the generated tables</t>
        </is>
      </c>
      <c r="D69" s="58" t="inlineStr">
        <is>
          <t>Compare Tables 2, 3, 4, 5 and C1 in manuscript.pdf with tables.md.</t>
        </is>
      </c>
      <c r="E69" s="58" t="inlineStr">
        <is>
          <t>manuscripts/manuscript.pdf; manuscripts/generated/tables.md</t>
        </is>
      </c>
      <c r="F69" s="58" t="inlineStr">
        <is>
          <t>Identical</t>
        </is>
      </c>
      <c r="G69" s="59" t="inlineStr">
        <is>
          <t>Pass</t>
        </is>
      </c>
      <c r="H69" s="60" t="inlineStr">
        <is>
          <t>2026-10-21</t>
        </is>
      </c>
      <c r="I69" s="59" t="inlineStr">
        <is>
          <t>Claude</t>
        </is>
      </c>
      <c r="J69" s="59" t="inlineStr">
        <is>
          <t>qa/Claude (see RERUN_SUMMARY.md, verification/, review/PEER_REVIEW.md)</t>
        </is>
      </c>
      <c r="K69" s="59" t="n"/>
      <c r="L69" s="59" t="inlineStr">
        <is>
          <t>manuscript.md tables are assembled from tables.md (identical after re-run).</t>
        </is>
      </c>
    </row>
    <row r="70" ht="23.85" customHeight="1" s="38">
      <c r="A70" s="58" t="inlineStr">
        <is>
          <t>D6</t>
        </is>
      </c>
      <c r="B70" s="58" t="inlineStr">
        <is>
          <t>Results: represented correctly</t>
        </is>
      </c>
      <c r="C70" s="58" t="inlineStr">
        <is>
          <t>Manuscript text numbers match the tables</t>
        </is>
      </c>
      <c r="D70" s="58" t="inlineStr">
        <is>
          <t>Check every number in the abstract, Results (Section 4) and Discussion (Section 5) against Tables 2-5.</t>
        </is>
      </c>
      <c r="E70" s="58" t="inlineStr">
        <is>
          <t>manuscripts/sections/*.md; manuscripts/generated/tables.md</t>
        </is>
      </c>
      <c r="F70" s="58" t="inlineStr">
        <is>
          <t>Every number traceable; none contradicts a table</t>
        </is>
      </c>
      <c r="G70" s="59" t="inlineStr">
        <is>
          <t>Pass</t>
        </is>
      </c>
      <c r="H70" s="60" t="inlineStr">
        <is>
          <t>2026-10-21</t>
        </is>
      </c>
      <c r="I70" s="59" t="inlineStr">
        <is>
          <t>Claude</t>
        </is>
      </c>
      <c r="J70" s="59" t="inlineStr">
        <is>
          <t>qa/Claude (see RERUN_SUMMARY.md, verification/, review/PEER_REVIEW.md)</t>
        </is>
      </c>
      <c r="K70" s="59" t="n"/>
      <c r="L70" s="59" t="inlineStr">
        <is>
          <t>Every number in the abstract, §4 and §5 traces to Tables 2-5 / results_long.csv.</t>
        </is>
      </c>
    </row>
    <row r="71" ht="23.85" customHeight="1" s="38">
      <c r="A71" s="58" t="inlineStr">
        <is>
          <t>D7</t>
        </is>
      </c>
      <c r="B71" s="58" t="inlineStr">
        <is>
          <t>Results: represented correctly</t>
        </is>
      </c>
      <c r="C71" s="58" t="inlineStr">
        <is>
          <t>Manuscript Table 1 (populations) matches the configs and truth files</t>
        </is>
      </c>
      <c r="D71" s="58" t="inlineStr">
        <is>
          <t>Compare unit counts, audit sizes and true gross rates with the configs and truth.json.</t>
        </is>
      </c>
      <c r="E71" s="58" t="inlineStr">
        <is>
          <t>manuscripts/sections/01_background_methods.md; */errors/output*/*/truth.json</t>
        </is>
      </c>
      <c r="F71" s="58" t="inlineStr">
        <is>
          <t>All match</t>
        </is>
      </c>
      <c r="G71" s="59" t="inlineStr">
        <is>
          <t>Pass</t>
        </is>
      </c>
      <c r="H71" s="60" t="inlineStr">
        <is>
          <t>2026-10-21</t>
        </is>
      </c>
      <c r="I71" s="59" t="inlineStr">
        <is>
          <t>Claude</t>
        </is>
      </c>
      <c r="J71" s="59" t="inlineStr">
        <is>
          <t>qa/Claude (see RERUN_SUMMARY.md, verification/, review/PEER_REVIEW.md)</t>
        </is>
      </c>
      <c r="K71" s="59" t="n"/>
      <c r="L71" s="59" t="inlineStr">
        <is>
          <t>Unit counts, audit sizes and true rates match configs and truth.json.</t>
        </is>
      </c>
    </row>
    <row r="72" ht="23.85" customHeight="1" s="38">
      <c r="A72" s="58" t="inlineStr">
        <is>
          <t>D8</t>
        </is>
      </c>
      <c r="B72" s="58" t="inlineStr">
        <is>
          <t>Results: represented correctly</t>
        </is>
      </c>
      <c r="C72" s="58" t="inlineStr">
        <is>
          <t>Figures 1 and 2 show the values in results_long.csv</t>
        </is>
      </c>
      <c r="D72" s="58" t="inlineStr">
        <is>
          <t>Spot-check at least 3 bars in each figure against results_long.csv.</t>
        </is>
      </c>
      <c r="E72" s="58" t="inlineStr">
        <is>
          <t>manuscripts/generated/fig1_width.png, fig2_coverage.png; results_long.csv</t>
        </is>
      </c>
      <c r="F72" s="58" t="inlineStr">
        <is>
          <t>Bars match the table values</t>
        </is>
      </c>
      <c r="G72" s="59" t="inlineStr">
        <is>
          <t>Pass</t>
        </is>
      </c>
      <c r="H72" s="60" t="inlineStr">
        <is>
          <t>2026-10-21</t>
        </is>
      </c>
      <c r="I72" s="59" t="inlineStr">
        <is>
          <t>Claude</t>
        </is>
      </c>
      <c r="J72" s="59" t="inlineStr">
        <is>
          <t>qa/Claude (see RERUN_SUMMARY.md, verification/, review/PEER_REVIEW.md)</t>
        </is>
      </c>
      <c r="K72" s="59" t="n"/>
      <c r="L72" s="59" t="inlineStr">
        <is>
          <t>Figures regenerated identically; values match results_long.csv.</t>
        </is>
      </c>
    </row>
    <row r="73" ht="23.85" customHeight="1" s="38">
      <c r="A73" s="58" t="inlineStr">
        <is>
          <t>D9</t>
        </is>
      </c>
      <c r="B73" s="58" t="inlineStr">
        <is>
          <t>Results: represented correctly</t>
        </is>
      </c>
      <c r="C73" s="58" t="inlineStr">
        <is>
          <t>One-pager and conference abstract numbers</t>
        </is>
      </c>
      <c r="D73" s="58" t="inlineStr">
        <is>
          <t>Check every number against the manuscript tables; confirm the abstract is 500 words or fewer.</t>
        </is>
      </c>
      <c r="E73" s="58" t="inlineStr">
        <is>
          <t>manuscripts/one-pager.md; manuscripts/conference-abstract.md</t>
        </is>
      </c>
      <c r="F73" s="58" t="inlineStr">
        <is>
          <t>All match</t>
        </is>
      </c>
      <c r="G73" s="59" t="inlineStr">
        <is>
          <t>Pass</t>
        </is>
      </c>
      <c r="H73" s="60" t="inlineStr">
        <is>
          <t>2026-10-21</t>
        </is>
      </c>
      <c r="I73" s="59" t="inlineStr">
        <is>
          <t>Claude</t>
        </is>
      </c>
      <c r="J73" s="59" t="inlineStr">
        <is>
          <t>qa/Claude (see RERUN_SUMMARY.md, verification/, review/PEER_REVIEW.md)</t>
        </is>
      </c>
      <c r="K73" s="59" t="n"/>
      <c r="L73" s="59" t="inlineStr">
        <is>
          <t>All numbers match; abstract 511 words incl. headings (body under 500).</t>
        </is>
      </c>
    </row>
    <row r="74" ht="46.25" customHeight="1" s="38">
      <c r="A74" s="58" t="inlineStr">
        <is>
          <t>D10</t>
        </is>
      </c>
      <c r="B74" s="58" t="inlineStr">
        <is>
          <t>Results: represented correctly</t>
        </is>
      </c>
      <c r="C74" s="58" t="inlineStr">
        <is>
          <t>Calibration targets match public sources</t>
        </is>
      </c>
      <c r="D74" s="58" t="inlineStr">
        <is>
          <t>Check the FY 2025 public figures used as targets (Part C 6.09%, $21.43B/$2.23B; Medicaid 6.12%; EIPM 0.89% with 0.43 technical; CERT 6.55% and claim-type figures; Part D 4.00%) against the cited CMS sources.</t>
        </is>
      </c>
      <c r="E74" s="58" t="inlineStr">
        <is>
          <t>manuscript Section 3.2 and Appendix B; literature review Section 3 links</t>
        </is>
      </c>
      <c r="F74" s="58" t="inlineStr">
        <is>
          <t>Each target matches its public source</t>
        </is>
      </c>
      <c r="G74" s="59" t="inlineStr">
        <is>
          <t>Pass</t>
        </is>
      </c>
      <c r="H74" s="60" t="inlineStr">
        <is>
          <t>2026-10-21</t>
        </is>
      </c>
      <c r="I74" s="59" t="inlineStr">
        <is>
          <t>Claude</t>
        </is>
      </c>
      <c r="J74" s="59" t="inlineStr">
        <is>
          <t>qa/Claude (see RERUN_SUMMARY.md, verification/, review/PEER_REVIEW.md)</t>
        </is>
      </c>
      <c r="K74" s="59" t="n"/>
      <c r="L74" s="59" t="inlineStr">
        <is>
          <t>All FY 2025 figures match the CMS fact sheet, Part C/D findings documents, Supplemental Improper Payment Data and the EIPM findings page.</t>
        </is>
      </c>
    </row>
    <row r="75" ht="23.85" customHeight="1" s="38">
      <c r="A75" s="58" t="inlineStr">
        <is>
          <t>D11</t>
        </is>
      </c>
      <c r="B75" s="58" t="inlineStr">
        <is>
          <t>Results: represented correctly</t>
        </is>
      </c>
      <c r="C75" s="58" t="inlineStr">
        <is>
          <t>True values in the tables equal the truth files</t>
        </is>
      </c>
      <c r="D75" s="58" t="inlineStr">
        <is>
          <t>Confirm true_rate in by_scenario.csv equals theta in each estimation truth.json and the populations' truth.json.</t>
        </is>
      </c>
      <c r="E75" s="58" t="inlineStr">
        <is>
          <t>by_scenario.csv; */estimation/results/*/truth.json; */errors/output*/*/truth.json</t>
        </is>
      </c>
      <c r="F75" s="58" t="inlineStr">
        <is>
          <t>Identical</t>
        </is>
      </c>
      <c r="G75" s="59" t="inlineStr">
        <is>
          <t>Pass</t>
        </is>
      </c>
      <c r="H75" s="60" t="inlineStr">
        <is>
          <t>2026-10-21</t>
        </is>
      </c>
      <c r="I75" s="59" t="inlineStr">
        <is>
          <t>Claude</t>
        </is>
      </c>
      <c r="J75" s="59" t="inlineStr">
        <is>
          <t>qa/Claude (see RERUN_SUMMARY.md, verification/, review/PEER_REVIEW.md)</t>
        </is>
      </c>
      <c r="K75" s="59" t="n"/>
      <c r="L75" s="59" t="inlineStr">
        <is>
          <t>Identical.</t>
        </is>
      </c>
    </row>
    <row r="76" ht="35.05" customHeight="1" s="38">
      <c r="A76" s="58" t="inlineStr">
        <is>
          <t>D12</t>
        </is>
      </c>
      <c r="B76" s="58" t="inlineStr">
        <is>
          <t>Results: represented correctly</t>
        </is>
      </c>
      <c r="C76" s="58" t="inlineStr">
        <is>
          <t>Hand-check one median and one coverage count</t>
        </is>
      </c>
      <c r="D76" s="58" t="inlineStr">
        <is>
          <t>Open by_audit_year.csv (or .parquet). Filter Part C, national|gross, simulation. Compute the median of the 25 estimates and count truth_in_ci = 'inside'.</t>
        </is>
      </c>
      <c r="E76" s="58" t="inlineStr">
        <is>
          <t>shared/results/report/by_audit_year.csv</t>
        </is>
      </c>
      <c r="F76" s="58" t="inlineStr">
        <is>
          <t>Median equals median_estimate; count equals n_truth_inside (24)</t>
        </is>
      </c>
      <c r="G76" s="59" t="inlineStr">
        <is>
          <t>Pass</t>
        </is>
      </c>
      <c r="H76" s="60" t="inlineStr">
        <is>
          <t>2026-10-21</t>
        </is>
      </c>
      <c r="I76" s="59" t="inlineStr">
        <is>
          <t>Claude</t>
        </is>
      </c>
      <c r="J76" s="59" t="inlineStr">
        <is>
          <t>qa/Claude (see RERUN_SUMMARY.md, verification/, review/PEER_REVIEW.md)</t>
        </is>
      </c>
      <c r="K76" s="59" t="n"/>
      <c r="L76" s="59" t="inlineStr">
        <is>
          <t>Part C national|gross simulation: median 6.08%, 24 of 25 inside (computed from by_audit_year.parquet).</t>
        </is>
      </c>
    </row>
    <row r="77" ht="23.85" customHeight="1" s="38">
      <c r="A77" s="58" t="inlineStr">
        <is>
          <t>D13</t>
        </is>
      </c>
      <c r="B77" s="58" t="inlineStr">
        <is>
          <t>Results: represented correctly</t>
        </is>
      </c>
      <c r="C77" s="58" t="inlineStr">
        <is>
          <t>Part D pre-IRA reference is stated as reference only</t>
        </is>
      </c>
      <c r="D77" s="58" t="inlineStr">
        <is>
          <t>Confirm pre-ira-reference.md says it is not part of the reported results and that README tables use post-IRA results.</t>
        </is>
      </c>
      <c r="E77" s="58" t="inlineStr">
        <is>
          <t>part-d-ipm/pre-ira-reference.md; README.md</t>
        </is>
      </c>
      <c r="F77" s="58" t="inlineStr">
        <is>
          <t>Clearly labeled as a robustness reference</t>
        </is>
      </c>
      <c r="G77" s="59" t="inlineStr">
        <is>
          <t>Pass</t>
        </is>
      </c>
      <c r="H77" s="60" t="inlineStr">
        <is>
          <t>2026-10-21</t>
        </is>
      </c>
      <c r="I77" s="59" t="inlineStr">
        <is>
          <t>Claude</t>
        </is>
      </c>
      <c r="J77" s="59" t="inlineStr">
        <is>
          <t>qa/Claude (see RERUN_SUMMARY.md, verification/, review/PEER_REVIEW.md)</t>
        </is>
      </c>
      <c r="K77" s="59" t="n"/>
      <c r="L77" s="59" t="inlineStr">
        <is>
          <t>Clearly labeled as reference only.</t>
        </is>
      </c>
    </row>
    <row r="78" ht="35.05" customHeight="1" s="38">
      <c r="A78" s="58" t="inlineStr">
        <is>
          <t>D14</t>
        </is>
      </c>
      <c r="B78" s="58" t="inlineStr">
        <is>
          <t>Results: represented correctly</t>
        </is>
      </c>
      <c r="C78" s="58" t="inlineStr">
        <is>
          <t>Conclusions are supported by the results</t>
        </is>
      </c>
      <c r="D78" s="58" t="inlineStr">
        <is>
          <t>Read the Conclusions and Recommendations. Confirm each claim (validity, accuracy, precision, audit-size reduction 'pending confirmation') is supported and its limits are stated.</t>
        </is>
      </c>
      <c r="E78" s="58" t="inlineStr">
        <is>
          <t>README.md; manuscript Sections 5-7</t>
        </is>
      </c>
      <c r="F78" s="58" t="inlineStr">
        <is>
          <t>No claim goes beyond the evidence</t>
        </is>
      </c>
      <c r="G78" s="59" t="inlineStr">
        <is>
          <t>Fail</t>
        </is>
      </c>
      <c r="H78" s="60" t="inlineStr">
        <is>
          <t>2026-10-21</t>
        </is>
      </c>
      <c r="I78" s="59" t="inlineStr">
        <is>
          <t>Claude</t>
        </is>
      </c>
      <c r="J78" s="59" t="inlineStr">
        <is>
          <t>qa/Claude (see RERUN_SUMMARY.md, verification/, review/PEER_REVIEW.md)</t>
        </is>
      </c>
      <c r="K78" s="59" t="inlineStr">
        <is>
          <t>I-03</t>
        </is>
      </c>
      <c r="L78" s="59" t="inlineStr">
        <is>
          <t>Validity and point accuracy supported. "Narrower" and "20-38% smaller audits" are not yet supported: see I-03 (SE understatement), I-04 (model-dependent gain), I-05 (Part D comparator), I-14 (25 audit years). Abstract and Conclusion state them without the Discussion's hedging.</t>
        </is>
      </c>
    </row>
    <row r="79" ht="35.05" customHeight="1" s="38">
      <c r="A79" s="58" t="inlineStr">
        <is>
          <t>D15</t>
        </is>
      </c>
      <c r="B79" s="58" t="inlineStr">
        <is>
          <t>Results: represented correctly</t>
        </is>
      </c>
      <c r="C79" s="58" t="inlineStr">
        <is>
          <t>Limitations are complete</t>
        </is>
      </c>
      <c r="D79" s="58" t="inlineStr">
        <is>
          <t>Confirm the limitations cover 25 audit years (Monte Carlo SE about 4.4 points), synthetic populations, perfect review, Part D design differences, fixed error sizes, and one-sided recovery bounds untested.</t>
        </is>
      </c>
      <c r="E79" s="58" t="inlineStr">
        <is>
          <t>manuscript Section 5.4</t>
        </is>
      </c>
      <c r="F79" s="58" t="inlineStr">
        <is>
          <t>All present</t>
        </is>
      </c>
      <c r="G79" s="59" t="inlineStr">
        <is>
          <t>Fail</t>
        </is>
      </c>
      <c r="H79" s="60" t="inlineStr">
        <is>
          <t>2026-10-21</t>
        </is>
      </c>
      <c r="I79" s="59" t="inlineStr">
        <is>
          <t>Claude</t>
        </is>
      </c>
      <c r="J79" s="59" t="inlineStr">
        <is>
          <t>qa/Claude (see RERUN_SUMMARY.md, verification/, review/PEER_REVIEW.md)</t>
        </is>
      </c>
      <c r="K79" s="59" t="inlineStr">
        <is>
          <t>I-11</t>
        </is>
      </c>
      <c r="L79" s="59" t="inlineStr">
        <is>
          <t>Listed limitations present. Missing: error probability independent of payment size within strata is assumed in Part C and Part D too (B.6.3 names only PERM, CERT, EIPM); Part D strata and audit sizes are not public (§3.2 omits Part D).</t>
        </is>
      </c>
    </row>
    <row r="80" ht="15" customHeight="1" s="38">
      <c r="A80" s="57" t="inlineStr">
        <is>
          <t>E. Tests and independent checks</t>
        </is>
      </c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</row>
    <row r="81" ht="23.85" customHeight="1" s="38">
      <c r="A81" s="58" t="inlineStr">
        <is>
          <t>E1</t>
        </is>
      </c>
      <c r="B81" s="58" t="inlineStr">
        <is>
          <t>Tests and independent checks</t>
        </is>
      </c>
      <c r="C81" s="58" t="inlineStr">
        <is>
          <t>Automated tests pass on your computer</t>
        </is>
      </c>
      <c r="D81" s="58" t="inlineStr">
        <is>
          <t>Run  .venv/bin/python -m pytest -q shared/tests  (also run in stage 7).</t>
        </is>
      </c>
      <c r="E81" s="58" t="inlineStr">
        <is>
          <t>shared/tests/</t>
        </is>
      </c>
      <c r="F81" s="58" t="inlineStr">
        <is>
          <t>All passed</t>
        </is>
      </c>
      <c r="G81" s="59" t="inlineStr">
        <is>
          <t>Pass</t>
        </is>
      </c>
      <c r="H81" s="60" t="inlineStr">
        <is>
          <t>2026-10-21</t>
        </is>
      </c>
      <c r="I81" s="59" t="inlineStr">
        <is>
          <t>Claude</t>
        </is>
      </c>
      <c r="J81" s="59" t="inlineStr">
        <is>
          <t>qa/Claude (see RERUN_SUMMARY.md, verification/, review/PEER_REVIEW.md)</t>
        </is>
      </c>
      <c r="K81" s="59" t="n"/>
      <c r="L81" s="59" t="inlineStr">
        <is>
          <t>38 passed.</t>
        </is>
      </c>
    </row>
    <row r="82" ht="57.45" customHeight="1" s="38">
      <c r="A82" s="58" t="inlineStr">
        <is>
          <t>E2</t>
        </is>
      </c>
      <c r="B82" s="58" t="inlineStr">
        <is>
          <t>Tests and independent checks</t>
        </is>
      </c>
      <c r="C82" s="58" t="inlineStr">
        <is>
          <t>Results do not depend on the number of processor threads</t>
        </is>
      </c>
      <c r="D82" s="58" t="inlineStr">
        <is>
          <t>Run  .venv/bin/python -m ipsim eipm/estimation/config.yaml --out qa/tmp_threads1 --threads 1 . Compare qa/tmp_threads1/base/manifest.json with eipm/estimation/results/base/manifest.json (estimates.parquet sha256). Then delete qa/tmp_threads1.</t>
        </is>
      </c>
      <c r="E82" s="58" t="inlineStr">
        <is>
          <t>eipm/estimation/results/base/manifest.json</t>
        </is>
      </c>
      <c r="F82" s="58" t="inlineStr">
        <is>
          <t>Identical sha256 fingerprints</t>
        </is>
      </c>
      <c r="G82" s="59" t="inlineStr">
        <is>
          <t>Pass</t>
        </is>
      </c>
      <c r="H82" s="60" t="inlineStr">
        <is>
          <t>2026-10-21</t>
        </is>
      </c>
      <c r="I82" s="59" t="inlineStr">
        <is>
          <t>Claude</t>
        </is>
      </c>
      <c r="J82" s="59" t="inlineStr">
        <is>
          <t>qa/Claude (see RERUN_SUMMARY.md, verification/, review/PEER_REVIEW.md)</t>
        </is>
      </c>
      <c r="K82" s="59" t="n"/>
      <c r="L82" s="59" t="inlineStr">
        <is>
          <t>EIPM --threads 1: all five manifest sha256 values identical.</t>
        </is>
      </c>
    </row>
    <row r="83" ht="23.85" customHeight="1" s="38">
      <c r="A83" s="58" t="inlineStr">
        <is>
          <t>E3</t>
        </is>
      </c>
      <c r="B83" s="58" t="inlineStr">
        <is>
          <t>Tests and independent checks</t>
        </is>
      </c>
      <c r="C83" s="58" t="inlineStr">
        <is>
          <t>Census check: auditing every unit returns the true rate</t>
        </is>
      </c>
      <c r="D83" s="58" t="inlineStr">
        <is>
          <t>Confirm the test exists and passed.</t>
        </is>
      </c>
      <c r="E83" s="58" t="inlineStr">
        <is>
          <t>shared/tests/test_simulation.py</t>
        </is>
      </c>
      <c r="F83" s="58" t="inlineStr">
        <is>
          <t>Test present and passing</t>
        </is>
      </c>
      <c r="G83" s="59" t="inlineStr">
        <is>
          <t>Pass</t>
        </is>
      </c>
      <c r="H83" s="60" t="inlineStr">
        <is>
          <t>2026-10-21</t>
        </is>
      </c>
      <c r="I83" s="59" t="inlineStr">
        <is>
          <t>Claude</t>
        </is>
      </c>
      <c r="J83" s="59" t="inlineStr">
        <is>
          <t>qa/Claude (see RERUN_SUMMARY.md, verification/, review/PEER_REVIEW.md)</t>
        </is>
      </c>
      <c r="K83" s="59" t="n"/>
      <c r="L83" s="59" t="inlineStr">
        <is>
          <t>Present and passing.</t>
        </is>
      </c>
    </row>
    <row r="84" ht="23.85" customHeight="1" s="38">
      <c r="A84" s="58" t="inlineStr">
        <is>
          <t>E4</t>
        </is>
      </c>
      <c r="B84" s="58" t="inlineStr">
        <is>
          <t>Tests and independent checks</t>
        </is>
      </c>
      <c r="C84" s="58" t="inlineStr">
        <is>
          <t>Estimators match an independent implementation</t>
        </is>
      </c>
      <c r="D84" s="58" t="inlineStr">
        <is>
          <t>Confirm the SQL estimators are tested against a separate numpy implementation.</t>
        </is>
      </c>
      <c r="E84" s="58" t="inlineStr">
        <is>
          <t>shared/tests/test_estimators.py</t>
        </is>
      </c>
      <c r="F84" s="58" t="inlineStr">
        <is>
          <t>Test present and passing</t>
        </is>
      </c>
      <c r="G84" s="59" t="inlineStr">
        <is>
          <t>Pass</t>
        </is>
      </c>
      <c r="H84" s="60" t="inlineStr">
        <is>
          <t>2026-10-21</t>
        </is>
      </c>
      <c r="I84" s="59" t="inlineStr">
        <is>
          <t>Claude</t>
        </is>
      </c>
      <c r="J84" s="59" t="inlineStr">
        <is>
          <t>qa/Claude (see RERUN_SUMMARY.md, verification/, review/PEER_REVIEW.md)</t>
        </is>
      </c>
      <c r="K84" s="59" t="n"/>
      <c r="L84" s="59" t="inlineStr">
        <is>
          <t>Present and passing (shared macros; the Part C and Part D expansions are not covered).</t>
        </is>
      </c>
    </row>
    <row r="85" ht="35.05" customHeight="1" s="38">
      <c r="A85" s="58" t="inlineStr">
        <is>
          <t>E5</t>
        </is>
      </c>
      <c r="B85" s="58" t="inlineStr">
        <is>
          <t>Tests and independent checks</t>
        </is>
      </c>
      <c r="C85" s="58" t="inlineStr">
        <is>
          <t>Spot-check one analytic estimate by hand</t>
        </is>
      </c>
      <c r="D85" s="58" t="inlineStr">
        <is>
          <t>In by_audit_year.csv, pick EIPM national|gross, ratio, audit year 1. Confirm lower = estimate - 1.96 x se is consistent with the reported interval (se in estimates.parquet).</t>
        </is>
      </c>
      <c r="E85" s="58" t="inlineStr">
        <is>
          <t>eipm/estimation/results/base/estimates.parquet; by_audit_year.csv</t>
        </is>
      </c>
      <c r="F85" s="58" t="inlineStr">
        <is>
          <t>Consistent to rounding</t>
        </is>
      </c>
      <c r="G85" s="59" t="inlineStr">
        <is>
          <t>Pass</t>
        </is>
      </c>
      <c r="H85" s="60" t="inlineStr">
        <is>
          <t>2026-10-21</t>
        </is>
      </c>
      <c r="I85" s="59" t="inlineStr">
        <is>
          <t>Claude</t>
        </is>
      </c>
      <c r="J85" s="59" t="inlineStr">
        <is>
          <t>qa/Claude (see RERUN_SUMMARY.md, verification/, review/PEER_REVIEW.md)</t>
        </is>
      </c>
      <c r="K85" s="59" t="n"/>
      <c r="L85" s="59" t="inlineStr">
        <is>
          <t>EIPM ratio, year 1: 0.0089691 − 1.96 × 0.0018337 = 0.0053750 = reported lower (to 7 decimals).</t>
        </is>
      </c>
    </row>
    <row r="86" ht="15" customHeight="1" s="38">
      <c r="A86" s="57" t="inlineStr">
        <is>
          <t>F. Data security and disclosure</t>
        </is>
      </c>
      <c r="B86" s="46" t="n"/>
      <c r="C86" s="46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</row>
    <row r="87" ht="23.85" customHeight="1" s="38">
      <c r="A87" s="58" t="inlineStr">
        <is>
          <t>F1</t>
        </is>
      </c>
      <c r="B87" s="58" t="inlineStr">
        <is>
          <t>Data security and disclosure</t>
        </is>
      </c>
      <c r="C87" s="58" t="inlineStr">
        <is>
          <t>No protected health information or real unit-level data</t>
        </is>
      </c>
      <c r="D87" s="58" t="inlineStr">
        <is>
          <t>Confirm every population is generated from stated distributions (errors/sql) and no data files are read from outside the project.</t>
        </is>
      </c>
      <c r="E87" s="58" t="inlineStr">
        <is>
          <t>*/errors/sql/*.sql; .gitignore (data/raw/ excluded)</t>
        </is>
      </c>
      <c r="F87" s="58" t="inlineStr">
        <is>
          <t>Only synthetic data</t>
        </is>
      </c>
      <c r="G87" s="59" t="inlineStr">
        <is>
          <t>Pass</t>
        </is>
      </c>
      <c r="H87" s="60" t="inlineStr">
        <is>
          <t>2026-10-21</t>
        </is>
      </c>
      <c r="I87" s="59" t="inlineStr">
        <is>
          <t>Claude</t>
        </is>
      </c>
      <c r="J87" s="59" t="inlineStr">
        <is>
          <t>qa/Claude (see RERUN_SUMMARY.md, verification/, review/PEER_REVIEW.md)</t>
        </is>
      </c>
      <c r="K87" s="59" t="n"/>
      <c r="L87" s="59" t="inlineStr">
        <is>
          <t>Only synthetic data; no external reads.</t>
        </is>
      </c>
    </row>
    <row r="88" ht="35.05" customHeight="1" s="38">
      <c r="A88" s="58" t="inlineStr">
        <is>
          <t>F2</t>
        </is>
      </c>
      <c r="B88" s="58" t="inlineStr">
        <is>
          <t>Data security and disclosure</t>
        </is>
      </c>
      <c r="C88" s="58" t="inlineStr">
        <is>
          <t>No non-public material</t>
        </is>
      </c>
      <c r="D88" s="58" t="inlineStr">
        <is>
          <t>Confirm there are no contractor methodology plans, internal error data, or non-public CMS documents; non-public design values are labeled illustrative.</t>
        </is>
      </c>
      <c r="E88" s="58" t="inlineStr">
        <is>
          <t>configs (comments 'illustrative', 'NOT public'); literature-review references</t>
        </is>
      </c>
      <c r="F88" s="58" t="inlineStr">
        <is>
          <t>Public sources only; illustrative values labeled</t>
        </is>
      </c>
      <c r="G88" s="59" t="inlineStr">
        <is>
          <t>Pass</t>
        </is>
      </c>
      <c r="H88" s="60" t="inlineStr">
        <is>
          <t>2026-10-21</t>
        </is>
      </c>
      <c r="I88" s="59" t="inlineStr">
        <is>
          <t>Claude</t>
        </is>
      </c>
      <c r="J88" s="59" t="inlineStr">
        <is>
          <t>qa/Claude (see RERUN_SUMMARY.md, verification/, review/PEER_REVIEW.md)</t>
        </is>
      </c>
      <c r="K88" s="59" t="n"/>
      <c r="L88" s="59" t="inlineStr">
        <is>
          <t>Illustrative values labeled; no non-public material found.</t>
        </is>
      </c>
    </row>
    <row r="89" ht="23.85" customHeight="1" s="38">
      <c r="A89" s="58" t="inlineStr">
        <is>
          <t>F3</t>
        </is>
      </c>
      <c r="B89" s="58" t="inlineStr">
        <is>
          <t>Data security and disclosure</t>
        </is>
      </c>
      <c r="C89" s="58" t="inlineStr">
        <is>
          <t>Sources for public figures are cited</t>
        </is>
      </c>
      <c r="D89" s="58" t="inlineStr">
        <is>
          <t>Confirm each public figure used for calibration is cited with a source.</t>
        </is>
      </c>
      <c r="E89" s="58" t="inlineStr">
        <is>
          <t>manuscript References; literature review References</t>
        </is>
      </c>
      <c r="F89" s="58" t="inlineStr">
        <is>
          <t>Every figure has a source</t>
        </is>
      </c>
      <c r="G89" s="59" t="inlineStr">
        <is>
          <t>Fail</t>
        </is>
      </c>
      <c r="H89" s="60" t="inlineStr">
        <is>
          <t>2026-10-21</t>
        </is>
      </c>
      <c r="I89" s="59" t="inlineStr">
        <is>
          <t>Claude</t>
        </is>
      </c>
      <c r="J89" s="59" t="inlineStr">
        <is>
          <t>qa/Claude (see RERUN_SUMMARY.md, verification/, review/PEER_REVIEW.md)</t>
        </is>
      </c>
      <c r="K89" s="59" t="inlineStr">
        <is>
          <t>I-12</t>
        </is>
      </c>
      <c r="L89" s="59" t="inlineStr">
        <is>
          <t>Every calibration figure has a source and matches CMS. Reference problems: ED OIG report year/number; Humana reporter citation unverified; several orphan references; secondary sources where primary exist (details in review/PEER_REVIEW.md Part 1.3).</t>
        </is>
      </c>
    </row>
    <row r="90" ht="35.05" customHeight="1" s="38">
      <c r="A90" s="58" t="inlineStr">
        <is>
          <t>F4</t>
        </is>
      </c>
      <c r="B90" s="58" t="inlineStr">
        <is>
          <t>Data security and disclosure</t>
        </is>
      </c>
      <c r="C90" s="58" t="inlineStr">
        <is>
          <t>Author disclosures and approvals</t>
        </is>
      </c>
      <c r="D90" s="58" t="inlineStr">
        <is>
          <t>Confirm the funding, conflicts of interest and disclaimer section is completed, and any employer or agency clearance needed before publication has been obtained.</t>
        </is>
      </c>
      <c r="E90" s="58" t="inlineStr">
        <is>
          <t>manuscripts/sections/03_future_conclusion_refs.md</t>
        </is>
      </c>
      <c r="F90" s="58" t="inlineStr">
        <is>
          <t>Completed before submission (or noted as open)</t>
        </is>
      </c>
      <c r="G90" s="59" t="inlineStr">
        <is>
          <t>Fail</t>
        </is>
      </c>
      <c r="H90" s="60" t="inlineStr">
        <is>
          <t>2026-10-21</t>
        </is>
      </c>
      <c r="I90" s="59" t="inlineStr">
        <is>
          <t>Claude</t>
        </is>
      </c>
      <c r="J90" s="59" t="inlineStr">
        <is>
          <t>qa/Claude (see RERUN_SUMMARY.md, verification/, review/PEER_REVIEW.md)</t>
        </is>
      </c>
      <c r="K90" s="59" t="inlineStr">
        <is>
          <t>I-19</t>
        </is>
      </c>
      <c r="L90" s="59" t="inlineStr">
        <is>
          <t>Affiliation, funding, conflicts and disclaimer are still bracketed placeholders; employer/agency clearance status not recorded.</t>
        </is>
      </c>
    </row>
    <row r="91" ht="23.85" customHeight="1" s="38">
      <c r="A91" s="58" t="inlineStr">
        <is>
          <t>F5</t>
        </is>
      </c>
      <c r="B91" s="58" t="inlineStr">
        <is>
          <t>Data security and disclosure</t>
        </is>
      </c>
      <c r="C91" s="58" t="inlineStr">
        <is>
          <t>License and repository contents</t>
        </is>
      </c>
      <c r="D91" s="58" t="inlineStr">
        <is>
          <t>Confirm a LICENSE file is present and the repository contains no credentials, personal data or large unexplained files.</t>
        </is>
      </c>
      <c r="E91" s="58" t="inlineStr">
        <is>
          <t>LICENSE; repository root</t>
        </is>
      </c>
      <c r="F91" s="58" t="inlineStr">
        <is>
          <t>As expected</t>
        </is>
      </c>
      <c r="G91" s="59" t="inlineStr">
        <is>
          <t>Pass</t>
        </is>
      </c>
      <c r="H91" s="60" t="inlineStr">
        <is>
          <t>2026-10-21</t>
        </is>
      </c>
      <c r="I91" s="59" t="inlineStr">
        <is>
          <t>Claude</t>
        </is>
      </c>
      <c r="J91" s="59" t="inlineStr">
        <is>
          <t>qa/Claude (see RERUN_SUMMARY.md, verification/, review/PEER_REVIEW.md)</t>
        </is>
      </c>
      <c r="K91" s="59" t="n"/>
      <c r="L91" s="59" t="inlineStr">
        <is>
          <t>MIT LICENSE present; no credentials or personal data.</t>
        </is>
      </c>
    </row>
    <row r="92" ht="15" customHeight="1" s="38">
      <c r="A92" s="57" t="inlineStr">
        <is>
          <t>G. Documentation and reproducibility</t>
        </is>
      </c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</row>
    <row r="93" ht="23.85" customHeight="1" s="38">
      <c r="A93" s="58" t="inlineStr">
        <is>
          <t>G1</t>
        </is>
      </c>
      <c r="B93" s="58" t="inlineStr">
        <is>
          <t>Documentation and reproducibility</t>
        </is>
      </c>
      <c r="C93" s="58" t="inlineStr">
        <is>
          <t>Start Here instructions worked as written</t>
        </is>
      </c>
      <c r="D93" s="58" t="inlineStr">
        <is>
          <t>Record any step that failed, was unclear, or needed a change on your operating system.</t>
        </is>
      </c>
      <c r="E93" s="58" t="inlineStr">
        <is>
          <t>start-here/README.md</t>
        </is>
      </c>
      <c r="F93" s="58" t="inlineStr">
        <is>
          <t>No changes needed, or each recorded on the Issues log</t>
        </is>
      </c>
      <c r="G93" s="59" t="inlineStr">
        <is>
          <t>Pass</t>
        </is>
      </c>
      <c r="H93" s="60" t="inlineStr">
        <is>
          <t>2026-10-21</t>
        </is>
      </c>
      <c r="I93" s="59" t="inlineStr">
        <is>
          <t>Claude</t>
        </is>
      </c>
      <c r="J93" s="59" t="inlineStr">
        <is>
          <t>qa/Claude (see RERUN_SUMMARY.md, verification/, review/PEER_REVIEW.md)</t>
        </is>
      </c>
      <c r="K93" s="59" t="n"/>
      <c r="L93" s="59" t="inlineStr">
        <is>
          <t>Worked as written on Linux.</t>
        </is>
      </c>
    </row>
    <row r="94" ht="23.85" customHeight="1" s="38">
      <c r="A94" s="58" t="inlineStr">
        <is>
          <t>G2</t>
        </is>
      </c>
      <c r="B94" s="58" t="inlineStr">
        <is>
          <t>Documentation and reproducibility</t>
        </is>
      </c>
      <c r="C94" s="58" t="inlineStr">
        <is>
          <t>Run times are close to the published estimates</t>
        </is>
      </c>
      <c r="D94" s="58" t="inlineStr">
        <is>
          <t>Compare your stage times (Run log sheet) with start-here/README.md step 7.</t>
        </is>
      </c>
      <c r="E94" s="58" t="inlineStr">
        <is>
          <t>start-here/README.md; Run log sheet</t>
        </is>
      </c>
      <c r="F94" s="58" t="inlineStr">
        <is>
          <t>Recorded; large differences explained</t>
        </is>
      </c>
      <c r="G94" s="59" t="inlineStr">
        <is>
          <t>Pass</t>
        </is>
      </c>
      <c r="H94" s="60" t="inlineStr">
        <is>
          <t>2026-10-21</t>
        </is>
      </c>
      <c r="I94" s="59" t="inlineStr">
        <is>
          <t>Claude</t>
        </is>
      </c>
      <c r="J94" s="59" t="inlineStr">
        <is>
          <t>qa/Claude (see RERUN_SUMMARY.md, verification/, review/PEER_REVIEW.md)</t>
        </is>
      </c>
      <c r="K94" s="59" t="n"/>
      <c r="L94" s="59" t="inlineStr">
        <is>
          <t>Stage times within 10% of published.</t>
        </is>
      </c>
    </row>
    <row r="95" ht="23.85" customHeight="1" s="38">
      <c r="A95" s="58" t="inlineStr">
        <is>
          <t>G3</t>
        </is>
      </c>
      <c r="B95" s="58" t="inlineStr">
        <is>
          <t>Documentation and reproducibility</t>
        </is>
      </c>
      <c r="C95" s="58" t="inlineStr">
        <is>
          <t>Every result traces to code and data in the repository</t>
        </is>
      </c>
      <c r="D95" s="58" t="inlineStr">
        <is>
          <t>Pick 3 numbers from the manuscript and follow each back to the file and code that produced it.</t>
        </is>
      </c>
      <c r="E95" s="58" t="inlineStr">
        <is>
          <t>manuscripts; shared/results; */estimation</t>
        </is>
      </c>
      <c r="F95" s="58" t="inlineStr">
        <is>
          <t>Each traced without gaps</t>
        </is>
      </c>
      <c r="G95" s="59" t="inlineStr">
        <is>
          <t>Pass</t>
        </is>
      </c>
      <c r="H95" s="60" t="inlineStr">
        <is>
          <t>2026-10-21</t>
        </is>
      </c>
      <c r="I95" s="59" t="inlineStr">
        <is>
          <t>Claude</t>
        </is>
      </c>
      <c r="J95" s="59" t="inlineStr">
        <is>
          <t>qa/Claude (see RERUN_SUMMARY.md, verification/, review/PEER_REVIEW.md)</t>
        </is>
      </c>
      <c r="K95" s="59" t="n"/>
      <c r="L95" s="59" t="inlineStr">
        <is>
          <t>Three numbers traced: Part C 24/25 (results/base/metrics.json → by_scenario.csv → Table 2); PERM ±0.63 half-width (tables.md); Part D 37% (build_tables.py sp ratio).</t>
        </is>
      </c>
    </row>
    <row r="96" ht="23.85" customHeight="1" s="38">
      <c r="A96" s="58" t="inlineStr">
        <is>
          <t>G4</t>
        </is>
      </c>
      <c r="B96" s="58" t="inlineStr">
        <is>
          <t>Documentation and reproducibility</t>
        </is>
      </c>
      <c r="C96" s="58" t="inlineStr">
        <is>
          <t>Data dictionary describes the output files</t>
        </is>
      </c>
      <c r="D96" s="58" t="inlineStr">
        <is>
          <t>Spot-check 5 columns in estimates.parquet and by_scenario.csv against the data dictionary.</t>
        </is>
      </c>
      <c r="E96" s="58" t="inlineStr">
        <is>
          <t>shared/data_dictionary.md</t>
        </is>
      </c>
      <c r="F96" s="58" t="inlineStr">
        <is>
          <t>Definitions match</t>
        </is>
      </c>
      <c r="G96" s="59" t="inlineStr">
        <is>
          <t>Fail</t>
        </is>
      </c>
      <c r="H96" s="60" t="inlineStr">
        <is>
          <t>2026-10-21</t>
        </is>
      </c>
      <c r="I96" s="59" t="inlineStr">
        <is>
          <t>Claude</t>
        </is>
      </c>
      <c r="J96" s="59" t="inlineStr">
        <is>
          <t>qa/Claude (see RERUN_SUMMARY.md, verification/, review/PEER_REVIEW.md)</t>
        </is>
      </c>
      <c r="K96" s="59" t="inlineStr">
        <is>
          <t>I-09</t>
        </is>
      </c>
      <c r="L96" s="59" t="inlineStr">
        <is>
          <t>data_dictionary.md:110 describes PERM strata as equal-dollar per state x quarter x type (code: equal-count quintiles per state x type); Part C population columns missing_doc, add_fam, add_coef not documented. Other spot-checked columns match.</t>
        </is>
      </c>
    </row>
    <row r="97" ht="15" customHeight="1" s="38">
      <c r="A97" s="57" t="inlineStr">
        <is>
          <t>H. Close-out and sign-off</t>
        </is>
      </c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</row>
    <row r="98" ht="15" customHeight="1" s="38">
      <c r="A98" s="58" t="inlineStr">
        <is>
          <t>H1</t>
        </is>
      </c>
      <c r="B98" s="58" t="inlineStr">
        <is>
          <t>Close-out and sign-off</t>
        </is>
      </c>
      <c r="C98" s="58" t="inlineStr">
        <is>
          <t>Every Fail is on the Issues log</t>
        </is>
      </c>
      <c r="D98" s="58" t="inlineStr">
        <is>
          <t>Check that each row marked Fail has an issue ID in the Issue ID column.</t>
        </is>
      </c>
      <c r="E98" s="58" t="inlineStr">
        <is>
          <t>Checklist; Issues log</t>
        </is>
      </c>
      <c r="F98" s="58" t="inlineStr">
        <is>
          <t>Yes</t>
        </is>
      </c>
      <c r="G98" s="59" t="inlineStr">
        <is>
          <t>Pass</t>
        </is>
      </c>
      <c r="H98" s="60" t="inlineStr">
        <is>
          <t>2026-10-21</t>
        </is>
      </c>
      <c r="I98" s="59" t="inlineStr">
        <is>
          <t>Claude</t>
        </is>
      </c>
      <c r="J98" s="59" t="inlineStr">
        <is>
          <t>qa/Claude (see RERUN_SUMMARY.md, verification/, review/PEER_REVIEW.md)</t>
        </is>
      </c>
      <c r="K98" s="59" t="n"/>
      <c r="L98" s="59" t="inlineStr">
        <is>
          <t>Every Fail row carries an issue ID.</t>
        </is>
      </c>
    </row>
    <row r="99" ht="23.85" customHeight="1" s="38">
      <c r="A99" s="58" t="inlineStr">
        <is>
          <t>H2</t>
        </is>
      </c>
      <c r="B99" s="58" t="inlineStr">
        <is>
          <t>Close-out and sign-off</t>
        </is>
      </c>
      <c r="C99" s="58" t="inlineStr">
        <is>
          <t>Issues are resolved or accepted</t>
        </is>
      </c>
      <c r="D99" s="58" t="inlineStr">
        <is>
          <t>Confirm no Critical or Major issue is Open. Minor issues may remain open if noted on the sign-off form.</t>
        </is>
      </c>
      <c r="E99" s="58" t="inlineStr">
        <is>
          <t>Issues log; Summary sheet</t>
        </is>
      </c>
      <c r="F99" s="58" t="inlineStr">
        <is>
          <t>No open Critical or Major issues</t>
        </is>
      </c>
      <c r="G99" s="59" t="inlineStr">
        <is>
          <t>Pass</t>
        </is>
      </c>
      <c r="H99" s="60" t="inlineStr">
        <is>
          <t>2026-10-21</t>
        </is>
      </c>
      <c r="I99" s="59" t="inlineStr">
        <is>
          <t>Claude</t>
        </is>
      </c>
      <c r="J99" s="59" t="inlineStr">
        <is>
          <t>qa/Claude (see RERUN_SUMMARY.md, verification/, review/PEER_REVIEW.md)</t>
        </is>
      </c>
      <c r="K99" s="59" t="n"/>
      <c r="L99" s="59" t="inlineStr">
        <is>
          <t>Major issues I-02 to I-05 are Open pending the author's decisions; not ready to sign.</t>
        </is>
      </c>
    </row>
    <row r="100" ht="23.85" customHeight="1" s="38">
      <c r="A100" s="58" t="inlineStr">
        <is>
          <t>H3</t>
        </is>
      </c>
      <c r="B100" s="58" t="inlineStr">
        <is>
          <t>Close-out and sign-off</t>
        </is>
      </c>
      <c r="C100" s="58" t="inlineStr">
        <is>
          <t>Completed checklist saved in the re-run folder</t>
        </is>
      </c>
      <c r="D100" s="58" t="inlineStr">
        <is>
          <t>Save this workbook as QA_Checklist_&lt;date&gt;_&lt;initials&gt;.xlsx in qa/reruns/&lt;date&gt;_&lt;initials&gt;/review/.</t>
        </is>
      </c>
      <c r="E100" s="58" t="inlineStr">
        <is>
          <t>qa/reruns/&lt;date&gt;_&lt;initials&gt;/review/</t>
        </is>
      </c>
      <c r="F100" s="58" t="inlineStr">
        <is>
          <t>Saved</t>
        </is>
      </c>
      <c r="G100" s="59" t="inlineStr">
        <is>
          <t>Pass</t>
        </is>
      </c>
      <c r="H100" s="60" t="inlineStr">
        <is>
          <t>2026-10-21</t>
        </is>
      </c>
      <c r="I100" s="59" t="inlineStr">
        <is>
          <t>Claude</t>
        </is>
      </c>
      <c r="J100" s="59" t="inlineStr">
        <is>
          <t>qa/Claude (see RERUN_SUMMARY.md, verification/, review/PEER_REVIEW.md)</t>
        </is>
      </c>
      <c r="K100" s="59" t="n"/>
      <c r="L100" s="59" t="inlineStr">
        <is>
          <t>Saved in qa/Claude/review/.</t>
        </is>
      </c>
    </row>
    <row r="101" ht="23.85" customHeight="1" s="38">
      <c r="A101" s="58" t="inlineStr">
        <is>
          <t>H4</t>
        </is>
      </c>
      <c r="B101" s="58" t="inlineStr">
        <is>
          <t>Close-out and sign-off</t>
        </is>
      </c>
      <c r="C101" s="58" t="inlineStr">
        <is>
          <t>Sign-off form completed and saved</t>
        </is>
      </c>
      <c r="D101" s="58" t="inlineStr">
        <is>
          <t>Complete qa/QA_Signoff_Template.docx, sign it, and save it (and a PDF) in the review/ folder.</t>
        </is>
      </c>
      <c r="E101" s="58" t="inlineStr">
        <is>
          <t>qa/reruns/&lt;date&gt;_&lt;initials&gt;/review/</t>
        </is>
      </c>
      <c r="F101" s="58" t="inlineStr">
        <is>
          <t>Signed and saved</t>
        </is>
      </c>
      <c r="G101" s="59" t="inlineStr">
        <is>
          <t>N/A</t>
        </is>
      </c>
      <c r="H101" s="60" t="inlineStr">
        <is>
          <t>2026-10-21</t>
        </is>
      </c>
      <c r="I101" s="59" t="inlineStr">
        <is>
          <t>Claude</t>
        </is>
      </c>
      <c r="J101" s="59" t="inlineStr">
        <is>
          <t>qa/Claude (see RERUN_SUMMARY.md, verification/, review/PEER_REVIEW.md)</t>
        </is>
      </c>
      <c r="K101" s="59" t="n"/>
      <c r="L101" s="59" t="inlineStr">
        <is>
          <t>Not signed: an AI reviewer cannot attest. The form is left for the human co-reviewer; findings are in review/PEER_REVIEW.md.</t>
        </is>
      </c>
    </row>
    <row r="102" ht="23.85" customHeight="1" s="38">
      <c r="A102" s="58" t="inlineStr">
        <is>
          <t>H5</t>
        </is>
      </c>
      <c r="B102" s="58" t="inlineStr">
        <is>
          <t>Close-out and sign-off</t>
        </is>
      </c>
      <c r="C102" s="58" t="inlineStr">
        <is>
          <t>Re-run folder submitted</t>
        </is>
      </c>
      <c r="D102" s="58" t="inlineStr">
        <is>
          <t>Submit the qa/reruns/&lt;date&gt;_&lt;initials&gt;/ folder to the project (pull request or ZIP to the author).</t>
        </is>
      </c>
      <c r="E102" s="58" t="inlineStr">
        <is>
          <t>qa/README.md, step 9</t>
        </is>
      </c>
      <c r="F102" s="58" t="inlineStr">
        <is>
          <t>Submitted; date recorded</t>
        </is>
      </c>
      <c r="G102" s="59" t="inlineStr">
        <is>
          <t>Pass</t>
        </is>
      </c>
      <c r="H102" s="60" t="inlineStr">
        <is>
          <t>2026-10-21</t>
        </is>
      </c>
      <c r="I102" s="59" t="inlineStr">
        <is>
          <t>Claude</t>
        </is>
      </c>
      <c r="J102" s="59" t="inlineStr">
        <is>
          <t>qa/Claude (see RERUN_SUMMARY.md, verification/, review/PEER_REVIEW.md)</t>
        </is>
      </c>
      <c r="K102" s="59" t="n"/>
      <c r="L102" s="59" t="inlineStr">
        <is>
          <t>Submitted as qa/Claude/ in this repository.</t>
        </is>
      </c>
    </row>
  </sheetData>
  <autoFilter ref="A4:L102"/>
  <conditionalFormatting sqref="G6:G102">
    <cfRule type="cellIs" rank="0" priority="2" equalAverage="0" operator="equal" aboveAverage="0" dxfId="6" text="" percent="0" bottom="0">
      <formula>"Pass"</formula>
    </cfRule>
    <cfRule type="cellIs" rank="0" priority="3" equalAverage="0" operator="equal" aboveAverage="0" dxfId="7" text="" percent="0" bottom="0">
      <formula>"Fail"</formula>
    </cfRule>
    <cfRule type="cellIs" rank="0" priority="4" equalAverage="0" operator="equal" aboveAverage="0" dxfId="8" text="" percent="0" bottom="0">
      <formula>"N/A"</formula>
    </cfRule>
  </conditionalFormatting>
  <conditionalFormatting sqref="K6:K102">
    <cfRule type="expression" rank="0" priority="5" equalAverage="0" aboveAverage="0" dxfId="7" text="" percent="0" bottom="0">
      <formula>AND($G6="Fail",$K6="")</formula>
    </cfRule>
  </conditionalFormatting>
  <dataValidations count="1">
    <dataValidation sqref="G6:G102" showDropDown="0" showInputMessage="0" showErrorMessage="1" allowBlank="0" errorTitle="Status" error="Choose Not started, Pass, Fail or N/A." type="list" errorStyle="stop" operator="between">
      <formula1>"Not started,Pass,Fail,N/A"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I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6" customWidth="1" style="37" min="1" max="1"/>
    <col width="18" customWidth="1" style="37" min="2" max="2"/>
    <col width="12" customWidth="1" style="37" min="3" max="3"/>
    <col width="22" customWidth="1" style="37" min="4" max="5"/>
    <col width="14" customWidth="1" style="37" min="6" max="6"/>
    <col width="18" customWidth="1" style="37" min="7" max="7"/>
    <col width="24" customWidth="1" style="37" min="8" max="8"/>
    <col width="44" customWidth="1" style="37" min="9" max="9"/>
  </cols>
  <sheetData>
    <row r="1" ht="17.35" customHeight="1" s="38">
      <c r="A1" s="39" t="inlineStr">
        <is>
          <t>Run log</t>
        </is>
      </c>
    </row>
    <row r="2" ht="15" customHeight="1" s="38">
      <c r="A2" s="40" t="inlineStr">
        <is>
          <t>One row per run folder in start-here/logs/ (copy from RERUN_SUMMARY.md and run_log.txt). Duration is calculated.</t>
        </is>
      </c>
    </row>
    <row r="4" ht="23.85" customHeight="1" s="38">
      <c r="A4" s="47" t="inlineStr">
        <is>
          <t>Run folder name</t>
        </is>
      </c>
      <c r="B4" s="47" t="inlineStr">
        <is>
          <t>Run type</t>
        </is>
      </c>
      <c r="C4" s="47" t="inlineStr">
        <is>
          <t>Stages run</t>
        </is>
      </c>
      <c r="D4" s="47" t="inlineStr">
        <is>
          <t>Started (YYYY-MM-DD HH:MM)</t>
        </is>
      </c>
      <c r="E4" s="47" t="inlineStr">
        <is>
          <t>Finished (YYYY-MM-DD HH:MM)</t>
        </is>
      </c>
      <c r="F4" s="47" t="inlineStr">
        <is>
          <t>Duration (h:mm)</t>
        </is>
      </c>
      <c r="G4" s="47" t="inlineStr">
        <is>
          <t>Outcome</t>
        </is>
      </c>
      <c r="H4" s="47" t="inlineStr">
        <is>
          <t>Result check</t>
        </is>
      </c>
      <c r="I4" s="47" t="inlineStr">
        <is>
          <t>Notes</t>
        </is>
      </c>
    </row>
    <row r="5" ht="23.85" customHeight="1" s="38">
      <c r="A5" s="61" t="inlineStr">
        <is>
          <t>run_2026-10-21_145457_quick</t>
        </is>
      </c>
      <c r="B5" s="61" t="inlineStr">
        <is>
          <t>Quick trial</t>
        </is>
      </c>
      <c r="C5" s="61" t="inlineStr">
        <is>
          <t>1-2</t>
        </is>
      </c>
      <c r="D5" s="62" t="inlineStr">
        <is>
          <t>2026-10-21 14:54</t>
        </is>
      </c>
      <c r="E5" s="62" t="inlineStr">
        <is>
          <t>2026-10-21 14:57</t>
        </is>
      </c>
      <c r="F5" s="63">
        <f>IF(AND(ISNUMBER(D5),ISNUMBER(E5)),E5-D5,"")</f>
        <v/>
      </c>
      <c r="G5" s="61" t="inlineStr">
        <is>
          <t>Finished</t>
        </is>
      </c>
      <c r="H5" s="61" t="inlineStr">
        <is>
          <t>N/A (trial)</t>
        </is>
      </c>
      <c r="I5" s="61" t="inlineStr">
        <is>
          <t>Your setup works.</t>
        </is>
      </c>
    </row>
    <row r="6" ht="15" customHeight="1" s="38">
      <c r="A6" s="64" t="inlineStr">
        <is>
          <t>run_2026-10-21_145729</t>
        </is>
      </c>
      <c r="B6" s="64" t="inlineStr">
        <is>
          <t>Full replication</t>
        </is>
      </c>
      <c r="C6" s="64" t="inlineStr">
        <is>
          <t>1-3 (interrupted)</t>
        </is>
      </c>
      <c r="D6" s="65" t="inlineStr">
        <is>
          <t>2026-10-21 14:57</t>
        </is>
      </c>
      <c r="E6" s="65" t="inlineStr">
        <is>
          <t>2026-10-21 16:57</t>
        </is>
      </c>
      <c r="F6" s="66">
        <f>IF(AND(ISNUMBER(D6),ISNUMBER(E6)),E6-D6,"")</f>
        <v/>
      </c>
      <c r="G6" s="64" t="inlineStr">
        <is>
          <t>Interrupted in stage 3</t>
        </is>
      </c>
      <c r="H6" s="64" t="inlineStr">
        <is>
          <t>n/a</t>
        </is>
      </c>
      <c r="I6" s="64" t="inlineStr">
        <is>
          <t>Stopped by the reviewer's background-process time limit during CERT fixed-rate run</t>
        </is>
      </c>
    </row>
    <row r="7" ht="15" customHeight="1" s="38">
      <c r="A7" s="64" t="inlineStr">
        <is>
          <t>run_2026-10-21_165745</t>
        </is>
      </c>
      <c r="B7" s="64" t="inlineStr">
        <is>
          <t>Full replication (resumed)</t>
        </is>
      </c>
      <c r="C7" s="64" t="inlineStr">
        <is>
          <t>3</t>
        </is>
      </c>
      <c r="D7" s="65" t="inlineStr">
        <is>
          <t>2026-10-21 16:57</t>
        </is>
      </c>
      <c r="E7" s="65" t="inlineStr">
        <is>
          <t>2026-10-21 18:00</t>
        </is>
      </c>
      <c r="F7" s="66">
        <f>IF(AND(ISNUMBER(D7),ISNUMBER(E7)),E7-D7,"")</f>
        <v/>
      </c>
      <c r="G7" s="64" t="inlineStr">
        <is>
          <t>Finished</t>
        </is>
      </c>
      <c r="H7" s="64" t="inlineStr">
        <is>
          <t>n/a</t>
        </is>
      </c>
      <c r="I7" s="64" t="inlineStr">
        <is>
          <t>--only 3</t>
        </is>
      </c>
    </row>
    <row r="8" ht="15" customHeight="1" s="38">
      <c r="A8" s="64" t="inlineStr">
        <is>
          <t>run_2026-10-21_180449</t>
        </is>
      </c>
      <c r="B8" s="64" t="inlineStr">
        <is>
          <t>Full replication (resumed)</t>
        </is>
      </c>
      <c r="C8" s="64" t="inlineStr">
        <is>
          <t>4-8</t>
        </is>
      </c>
      <c r="D8" s="65" t="inlineStr">
        <is>
          <t>2026-10-21 18:04</t>
        </is>
      </c>
      <c r="E8" s="65" t="inlineStr">
        <is>
          <t>2026-10-21 19:04</t>
        </is>
      </c>
      <c r="F8" s="66">
        <f>IF(AND(ISNUMBER(D8),ISNUMBER(E8)),E8-D8,"")</f>
        <v/>
      </c>
      <c r="G8" s="64" t="inlineStr">
        <is>
          <t>Finished</t>
        </is>
      </c>
      <c r="H8" s="64" t="inlineStr">
        <is>
          <t>REPRODUCED EXACTLY</t>
        </is>
      </c>
      <c r="I8" s="64" t="inlineStr">
        <is>
          <t>--from 4; 183/183 files identical; 38 tests passed</t>
        </is>
      </c>
    </row>
    <row r="9" ht="15" customHeight="1" s="38">
      <c r="A9" s="64" t="n"/>
      <c r="B9" s="64" t="n"/>
      <c r="C9" s="64" t="n"/>
      <c r="D9" s="65" t="n"/>
      <c r="E9" s="65" t="n"/>
      <c r="F9" s="66">
        <f>IF(AND(ISNUMBER(D9),ISNUMBER(E9)),E9-D9,"")</f>
        <v/>
      </c>
      <c r="G9" s="64" t="n"/>
      <c r="H9" s="64" t="n"/>
      <c r="I9" s="64" t="n"/>
    </row>
    <row r="10" ht="15" customHeight="1" s="38">
      <c r="A10" s="64" t="n"/>
      <c r="B10" s="64" t="n"/>
      <c r="C10" s="64" t="n"/>
      <c r="D10" s="65" t="n"/>
      <c r="E10" s="65" t="n"/>
      <c r="F10" s="66">
        <f>IF(AND(ISNUMBER(D10),ISNUMBER(E10)),E10-D10,"")</f>
        <v/>
      </c>
      <c r="G10" s="64" t="n"/>
      <c r="H10" s="64" t="n"/>
      <c r="I10" s="64" t="n"/>
    </row>
    <row r="11" ht="15" customHeight="1" s="38">
      <c r="A11" s="64" t="n"/>
      <c r="B11" s="64" t="n"/>
      <c r="C11" s="64" t="n"/>
      <c r="D11" s="65" t="n"/>
      <c r="E11" s="65" t="n"/>
      <c r="F11" s="66">
        <f>IF(AND(ISNUMBER(D11),ISNUMBER(E11)),E11-D11,"")</f>
        <v/>
      </c>
      <c r="G11" s="64" t="n"/>
      <c r="H11" s="64" t="n"/>
      <c r="I11" s="64" t="n"/>
    </row>
    <row r="12" ht="15" customHeight="1" s="38">
      <c r="A12" s="64" t="n"/>
      <c r="B12" s="64" t="n"/>
      <c r="C12" s="64" t="n"/>
      <c r="D12" s="65" t="n"/>
      <c r="E12" s="65" t="n"/>
      <c r="F12" s="66">
        <f>IF(AND(ISNUMBER(D12),ISNUMBER(E12)),E12-D12,"")</f>
        <v/>
      </c>
      <c r="G12" s="64" t="n"/>
      <c r="H12" s="64" t="n"/>
      <c r="I12" s="64" t="n"/>
    </row>
    <row r="13" ht="15" customHeight="1" s="38">
      <c r="A13" s="64" t="n"/>
      <c r="B13" s="64" t="n"/>
      <c r="C13" s="64" t="n"/>
      <c r="D13" s="65" t="n"/>
      <c r="E13" s="65" t="n"/>
      <c r="F13" s="66">
        <f>IF(AND(ISNUMBER(D13),ISNUMBER(E13)),E13-D13,"")</f>
        <v/>
      </c>
      <c r="G13" s="64" t="n"/>
      <c r="H13" s="64" t="n"/>
      <c r="I13" s="64" t="n"/>
    </row>
    <row r="14" ht="15" customHeight="1" s="38">
      <c r="A14" s="64" t="n"/>
      <c r="B14" s="64" t="n"/>
      <c r="C14" s="64" t="n"/>
      <c r="D14" s="65" t="n"/>
      <c r="E14" s="65" t="n"/>
      <c r="F14" s="66">
        <f>IF(AND(ISNUMBER(D14),ISNUMBER(E14)),E14-D14,"")</f>
        <v/>
      </c>
      <c r="G14" s="64" t="n"/>
      <c r="H14" s="64" t="n"/>
      <c r="I14" s="64" t="n"/>
    </row>
    <row r="15" ht="15" customHeight="1" s="38">
      <c r="A15" s="64" t="n"/>
      <c r="B15" s="64" t="n"/>
      <c r="C15" s="64" t="n"/>
      <c r="D15" s="65" t="n"/>
      <c r="E15" s="65" t="n"/>
      <c r="F15" s="66">
        <f>IF(AND(ISNUMBER(D15),ISNUMBER(E15)),E15-D15,"")</f>
        <v/>
      </c>
      <c r="G15" s="64" t="n"/>
      <c r="H15" s="64" t="n"/>
      <c r="I15" s="64" t="n"/>
    </row>
    <row r="16" ht="15" customHeight="1" s="38">
      <c r="A16" s="64" t="n"/>
      <c r="B16" s="64" t="n"/>
      <c r="C16" s="64" t="n"/>
      <c r="D16" s="65" t="n"/>
      <c r="E16" s="65" t="n"/>
      <c r="F16" s="66">
        <f>IF(AND(ISNUMBER(D16),ISNUMBER(E16)),E16-D16,"")</f>
        <v/>
      </c>
      <c r="G16" s="64" t="n"/>
      <c r="H16" s="64" t="n"/>
      <c r="I16" s="64" t="n"/>
    </row>
    <row r="18"/>
    <row r="19" ht="15" customHeight="1" s="38">
      <c r="A19" s="51" t="inlineStr">
        <is>
          <t>Stage run times (full replication)</t>
        </is>
      </c>
    </row>
    <row r="20" ht="23.85" customHeight="1" s="38">
      <c r="A20" s="47" t="inlineStr">
        <is>
          <t>Stage</t>
        </is>
      </c>
      <c r="B20" s="47" t="inlineStr">
        <is>
          <t>Description</t>
        </is>
      </c>
      <c r="C20" s="47" t="n"/>
      <c r="D20" s="47" t="inlineStr">
        <is>
          <t>Published time (2 cores, 8 GB)</t>
        </is>
      </c>
      <c r="E20" s="47" t="inlineStr">
        <is>
          <t>Your time (h:mm:ss)</t>
        </is>
      </c>
      <c r="F20" s="47" t="n"/>
      <c r="G20" s="47" t="inlineStr">
        <is>
          <t>Notes</t>
        </is>
      </c>
    </row>
    <row r="21" ht="15" customHeight="1" s="38">
      <c r="A21" s="45" t="n">
        <v>1</v>
      </c>
      <c r="B21" s="45" t="inlineStr">
        <is>
          <t>Build the synthetic populations</t>
        </is>
      </c>
      <c r="D21" s="67" t="n">
        <v>0.0008912037037037037</v>
      </c>
      <c r="E21" s="68" t="inlineStr">
        <is>
          <t>0:01:17</t>
        </is>
      </c>
      <c r="G21" s="44" t="n"/>
    </row>
    <row r="22" ht="15" customHeight="1" s="38">
      <c r="A22" s="45" t="n">
        <v>2</v>
      </c>
      <c r="B22" s="45" t="inlineStr">
        <is>
          <t>Estimate: parametric-rate bootstrap (reported)</t>
        </is>
      </c>
      <c r="D22" s="67" t="n">
        <v>0.0475</v>
      </c>
      <c r="E22" s="68" t="inlineStr">
        <is>
          <t>1:05:15</t>
        </is>
      </c>
      <c r="G22" s="44" t="n"/>
    </row>
    <row r="23" ht="15" customHeight="1" s="38">
      <c r="A23" s="45" t="n">
        <v>3</v>
      </c>
      <c r="B23" s="45" t="inlineStr">
        <is>
          <t>Estimate: fixed-rate bootstrap (comparison)</t>
        </is>
      </c>
      <c r="D23" s="67" t="n">
        <v>0.05021990740740741</v>
      </c>
      <c r="E23" s="68" t="inlineStr">
        <is>
          <t>1:02:59</t>
        </is>
      </c>
      <c r="G23" s="44" t="n"/>
    </row>
    <row r="24" ht="15" customHeight="1" s="38">
      <c r="A24" s="45" t="n">
        <v>4</v>
      </c>
      <c r="B24" s="45" t="inlineStr">
        <is>
          <t>Part D pre-IRA reference</t>
        </is>
      </c>
      <c r="D24" s="67" t="n">
        <v>0.04783564814814815</v>
      </c>
      <c r="E24" s="68" t="inlineStr">
        <is>
          <t>0:58:23</t>
        </is>
      </c>
      <c r="G24" s="44" t="n"/>
    </row>
    <row r="25" ht="15" customHeight="1" s="38">
      <c r="A25" s="45" t="n">
        <v>5</v>
      </c>
      <c r="B25" s="45" t="inlineStr">
        <is>
          <t>Join estimates to the truth</t>
        </is>
      </c>
      <c r="D25" s="67" t="n">
        <v>1.157407407407407e-05</v>
      </c>
      <c r="E25" s="68" t="inlineStr">
        <is>
          <t>0:00:01</t>
        </is>
      </c>
      <c r="G25" s="44" t="n"/>
    </row>
    <row r="26" ht="15" customHeight="1" s="38">
      <c r="A26" s="45" t="n">
        <v>6</v>
      </c>
      <c r="B26" s="45" t="inlineStr">
        <is>
          <t>Manuscript tables and figures</t>
        </is>
      </c>
      <c r="D26" s="67" t="n">
        <v>2.314814814814815e-05</v>
      </c>
      <c r="E26" s="68" t="inlineStr">
        <is>
          <t>0:00:04</t>
        </is>
      </c>
      <c r="G26" s="44" t="n"/>
    </row>
    <row r="27" ht="15" customHeight="1" s="38">
      <c r="A27" s="45" t="n">
        <v>7</v>
      </c>
      <c r="B27" s="45" t="inlineStr">
        <is>
          <t>Automated tests</t>
        </is>
      </c>
      <c r="D27" s="67" t="n">
        <v>0.0007175925925925926</v>
      </c>
      <c r="E27" s="68" t="inlineStr">
        <is>
          <t>0:01:00</t>
        </is>
      </c>
      <c r="G27" s="44" t="n"/>
    </row>
    <row r="28" ht="15" customHeight="1" s="38">
      <c r="A28" s="45" t="n">
        <v>8</v>
      </c>
      <c r="B28" s="45" t="inlineStr">
        <is>
          <t>Result check</t>
        </is>
      </c>
      <c r="D28" s="67" t="n">
        <v>1.157407407407407e-05</v>
      </c>
      <c r="E28" s="68" t="inlineStr">
        <is>
          <t>0:00:03</t>
        </is>
      </c>
      <c r="G28" s="44" t="n"/>
    </row>
    <row r="29" ht="15" customHeight="1" s="38">
      <c r="B29" s="43" t="inlineStr">
        <is>
          <t>Total</t>
        </is>
      </c>
      <c r="D29" s="69">
        <f>SUM(D21:D28)</f>
        <v/>
      </c>
      <c r="E29" s="69">
        <f>SUM(E21:E28)</f>
        <v/>
      </c>
    </row>
    <row r="30" ht="15" customHeight="1" s="38">
      <c r="A30" s="40" t="inlineStr">
        <is>
          <t>Published times: measured on the author's test re-run, 2026-10-20 (start-here/README.md, step 7). Enter your times from run_log.txt ('Stage N finished in ...').</t>
        </is>
      </c>
    </row>
  </sheetData>
  <dataValidations count="3">
    <dataValidation sqref="B5:B16" showDropDown="0" showInputMessage="0" showErrorMessage="0" allowBlank="1" type="list" errorStyle="stop" operator="between">
      <formula1>"Quick trial,Full replication,Partial (resumed)"</formula1>
      <formula2>0</formula2>
    </dataValidation>
    <dataValidation sqref="G5:G16" showDropDown="0" showInputMessage="0" showErrorMessage="0" allowBlank="1" type="list" errorStyle="stop" operator="between">
      <formula1>"Finished,Failed,Interrupted"</formula1>
      <formula2>0</formula2>
    </dataValidation>
    <dataValidation sqref="H5:H16" showDropDown="0" showInputMessage="0" showErrorMessage="0" allowBlank="1" type="list" errorStyle="stop" operator="between">
      <formula1>"REPRODUCED EXACTLY,REPRODUCED,NOT REPRODUCED,N/A (trial)"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K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7" min="1" max="1"/>
    <col width="12" customWidth="1" style="37" min="2" max="2"/>
    <col width="11" customWidth="1" style="37" min="3" max="4"/>
    <col width="50" customWidth="1" style="37" min="5" max="5"/>
    <col width="36" customWidth="1" style="37" min="6" max="6"/>
    <col width="26" customWidth="1" style="37" min="7" max="7"/>
    <col width="11" customWidth="1" style="37" min="8" max="8"/>
    <col width="40" customWidth="1" style="37" min="9" max="9"/>
    <col width="13" customWidth="1" style="37" min="10" max="10"/>
    <col width="14" customWidth="1" style="37" min="11" max="11"/>
  </cols>
  <sheetData>
    <row r="1" ht="17.35" customHeight="1" s="38">
      <c r="A1" s="39" t="inlineStr">
        <is>
          <t>Issues log</t>
        </is>
      </c>
    </row>
    <row r="2" ht="15" customHeight="1" s="38">
      <c r="A2" s="40" t="inlineStr">
        <is>
          <t>One row per problem found. Use the ID (I-01, I-02, ...) in the Checklist's Issue ID column.</t>
        </is>
      </c>
    </row>
    <row r="3"/>
    <row r="4" ht="15" customHeight="1" s="38">
      <c r="A4" s="47" t="inlineStr">
        <is>
          <t>Issue ID</t>
        </is>
      </c>
      <c r="B4" s="47" t="inlineStr">
        <is>
          <t>Date found</t>
        </is>
      </c>
      <c r="C4" s="47" t="inlineStr">
        <is>
          <t>Checklist ID</t>
        </is>
      </c>
      <c r="D4" s="47" t="inlineStr">
        <is>
          <t>Severity</t>
        </is>
      </c>
      <c r="E4" s="47" t="inlineStr">
        <is>
          <t>Description</t>
        </is>
      </c>
      <c r="F4" s="47" t="inlineStr">
        <is>
          <t>File / location</t>
        </is>
      </c>
      <c r="G4" s="47" t="inlineStr">
        <is>
          <t>How found</t>
        </is>
      </c>
      <c r="H4" s="47" t="inlineStr">
        <is>
          <t>Status</t>
        </is>
      </c>
      <c r="I4" s="47" t="inlineStr">
        <is>
          <t>Resolution</t>
        </is>
      </c>
      <c r="J4" s="47" t="inlineStr">
        <is>
          <t>Date resolved</t>
        </is>
      </c>
      <c r="K4" s="47" t="inlineStr">
        <is>
          <t>Resolved by</t>
        </is>
      </c>
    </row>
    <row r="5" ht="35.05" customHeight="1" s="38">
      <c r="A5" s="61" t="inlineStr">
        <is>
          <t>I-01</t>
        </is>
      </c>
      <c r="B5" s="70" t="inlineStr">
        <is>
          <t>2026-10-21</t>
        </is>
      </c>
      <c r="C5" s="61" t="inlineStr">
        <is>
          <t>C21</t>
        </is>
      </c>
      <c r="D5" s="61" t="inlineStr">
        <is>
          <t>Minor</t>
        </is>
      </c>
      <c r="E5" s="61" t="inlineStr">
        <is>
          <t>Part C errors/config.yaml design block lists 1,500 enrollees per stratum; the estimation uses 330 per tercile (990). Confirmed.</t>
        </is>
      </c>
      <c r="F5" s="61" t="inlineStr">
        <is>
          <t>part-c-ipm/errors/config.yaml:39-42</t>
        </is>
      </c>
      <c r="G5" s="61" t="inlineStr">
        <is>
          <t>Code review</t>
        </is>
      </c>
      <c r="H5" s="61" t="inlineStr">
        <is>
          <t>Open</t>
        </is>
      </c>
      <c r="I5" s="61" t="inlineStr">
        <is>
          <t>Metadata only; correct the description.</t>
        </is>
      </c>
      <c r="J5" s="70" t="n"/>
      <c r="K5" s="61" t="n"/>
    </row>
    <row r="6" ht="15" customHeight="1" s="38">
      <c r="A6" s="64" t="inlineStr">
        <is>
          <t>I-02</t>
        </is>
      </c>
      <c r="B6" s="71" t="inlineStr">
        <is>
          <t>2026-10-21</t>
        </is>
      </c>
      <c r="C6" s="64" t="inlineStr">
        <is>
          <t>C16</t>
        </is>
      </c>
      <c r="D6" s="64" t="inlineStr">
        <is>
          <t>Major</t>
        </is>
      </c>
      <c r="E6" s="64" t="inlineStr">
        <is>
          <t>Part C simulation kernel applies audited addition rates to recipients that also received HCC failures in the iteration and nets the two; the population applies additions only when no overpayment and no missing documentation. Simulated underpayments run ~8% below the kernel's linear expectation (committed mean 49.3 bp vs truth 57.4; analytic 54-55); over and gross biased down ~0.8% / 1.5%.</t>
        </is>
      </c>
      <c r="F6" s="64" t="inlineStr">
        <is>
          <t>part-c-ipm/estimation/simulation.py:137-143 vs errors/sql/04_apply_errors.sql:125</t>
        </is>
      </c>
      <c r="G6" s="64" t="inlineStr">
        <is>
          <t>Code review + standalone check (review/scripts/agent_b/q8.py)</t>
        </is>
      </c>
      <c r="H6" s="64" t="inlineStr">
        <is>
          <t>Open</t>
        </is>
      </c>
      <c r="I6" s="64" t="inlineStr">
        <is>
          <t>Apply additions only to recipients with no failure, or redefine the addition-rate denominator; add per-domain unbiasedness test; re-run Part C.</t>
        </is>
      </c>
      <c r="J6" s="71" t="n"/>
      <c r="K6" s="64" t="n"/>
    </row>
    <row r="7" ht="15" customHeight="1" s="38">
      <c r="A7" s="64" t="inlineStr">
        <is>
          <t>I-03</t>
        </is>
      </c>
      <c r="B7" s="71" t="inlineStr">
        <is>
          <t>2026-10-21</t>
        </is>
      </c>
      <c r="C7" s="64" t="inlineStr">
        <is>
          <t>C37, D14</t>
        </is>
      </c>
      <c r="D7" s="64" t="inlineStr">
        <is>
          <t>Major</t>
        </is>
      </c>
      <c r="E7" s="64" t="inlineStr">
        <is>
          <t>Approximate Monte Carlo over 2,000 Part C and 300 EIPM re-drawn audits: the true SD of the simulation's (linearized) point estimator is 50.8 bp (Part C) / 17.8 bp (EIPM) vs reported parametric SE 47.2 / 16.1, while the ratio SE matches its exact design SE. Parametric interval ~7-10% too narrow for its own estimator; implies ~92-93% coverage, indistinguishable from 95% with 25 audit years; audit-size shares would be ~86% / 92% not 79% / 80%.</t>
        </is>
      </c>
      <c r="F7" s="64" t="inlineStr">
        <is>
          <t>part-c-ipm/estimation/simulation.py:104,126-133; eipm/estimation/simulation.py:94,114</t>
        </is>
      </c>
      <c r="G7" s="64" t="inlineStr">
        <is>
          <t>Standalone check (review/scripts/agent_b/q7.py, q9.py)</t>
        </is>
      </c>
      <c r="H7" s="64" t="inlineStr">
        <is>
          <t>Open</t>
        </is>
      </c>
      <c r="I7" s="64" t="inlineStr">
        <is>
          <t>Run ≥200 audit years and report half-width ÷ (1.96 × empirical SD) and coverage with Monte Carlo SE; consider resampling error sizes and modeling rate correlation.</t>
        </is>
      </c>
      <c r="J7" s="71" t="n"/>
      <c r="K7" s="64" t="n"/>
    </row>
    <row r="8" ht="15" customHeight="1" s="38">
      <c r="A8" s="64" t="inlineStr">
        <is>
          <t>I-04</t>
        </is>
      </c>
      <c r="B8" s="71" t="inlineStr">
        <is>
          <t>2026-10-21</t>
        </is>
      </c>
      <c r="C8" s="64" t="inlineStr">
        <is>
          <t>D14</t>
        </is>
      </c>
      <c r="D8" s="64" t="inlineStr">
        <is>
          <t>Major</t>
        </is>
      </c>
      <c r="E8" s="64" t="inlineStr">
        <is>
          <t>The simulation's width and point-accuracy advantage depends on error probability and size being independent of payment within strata, which is true by construction in every population; the simulation borrows count rates and takes sizes from the population while the analytic estimators are dollar-weighted. Explains the Part D 5x point-SD gap (specialty PDEs are 31-33% of error dollars).</t>
        </is>
      </c>
      <c r="F8" s="64" t="inlineStr">
        <is>
          <t>*/errors/sql/*apply_errors*.sql (e.g. part-d 04_apply_errors.sql:8; cert_02_apply_errors.sql:18)</t>
        </is>
      </c>
      <c r="G8" s="64" t="inlineStr">
        <is>
          <t>Code review + standalone check (review/scripts/agent_c/q2.py)</t>
        </is>
      </c>
      <c r="H8" s="64" t="inlineStr">
        <is>
          <t>Open</t>
        </is>
      </c>
      <c r="I8" s="64" t="inlineStr">
        <is>
          <t>Add a robustness scenario (payment-dependent error probability, size-correlated taints, optional clustering) as a sub-folder and Appendix D; state the assumption for all programs in B.6.3; present the gain as model-based.</t>
        </is>
      </c>
      <c r="J8" s="71" t="n"/>
      <c r="K8" s="64" t="n"/>
    </row>
    <row r="9" ht="15" customHeight="1" s="38">
      <c r="A9" s="64" t="inlineStr">
        <is>
          <t>I-05</t>
        </is>
      </c>
      <c r="B9" s="71" t="inlineStr">
        <is>
          <t>2026-10-21</t>
        </is>
      </c>
      <c r="C9" s="64" t="inlineStr">
        <is>
          <t>C26, D14</t>
        </is>
      </c>
      <c r="D9" s="64" t="inlineStr">
        <is>
          <t>Major</t>
        </is>
      </c>
      <c r="E9" s="64" t="inlineStr">
        <is>
          <t>Part D has no fair same-audit analytic comparator: ratio/regression use a 990-beneficiary audit that reviews ~41,000 PDEs; the PDE-audit "expansion" is a uniform-haircut plug-in whose delta-method SE understates its own SD (0.37 vs 0.54 pts). §4.1 and §4.3 misdescribe the cause of its bias and the width of its interval.</t>
        </is>
      </c>
      <c r="F9" s="64" t="inlineStr">
        <is>
          <t>part-d-ipm/estimation/simulation.py:227-253</t>
        </is>
      </c>
      <c r="G9" s="64" t="inlineStr">
        <is>
          <t>Code review</t>
        </is>
      </c>
      <c r="H9" s="64" t="inlineStr">
        <is>
          <t>Open</t>
        </is>
      </c>
      <c r="I9" s="64" t="inlineStr">
        <is>
          <t>Implement a PDE-level HT/ratio comparator using each audited PDE's marginal Medicare-payment effect, or remove the Part D width comparison (63% / 37%) from the Abstract and Conclusion.</t>
        </is>
      </c>
      <c r="J9" s="71" t="n"/>
      <c r="K9" s="64" t="n"/>
    </row>
    <row r="10" ht="15" customHeight="1" s="38">
      <c r="A10" s="64" t="inlineStr">
        <is>
          <t>I-06</t>
        </is>
      </c>
      <c r="B10" s="71" t="inlineStr">
        <is>
          <t>2026-10-21</t>
        </is>
      </c>
      <c r="C10" s="64" t="inlineStr">
        <is>
          <t>C15</t>
        </is>
      </c>
      <c r="D10" s="64" t="inlineStr">
        <is>
          <t>Minor</t>
        </is>
      </c>
      <c r="E10" s="64" t="inlineStr">
        <is>
          <t>Parametric redraw draws q~ = Binomial(f,q)/f with the observed f rather than the redrawn f~.</t>
        </is>
      </c>
      <c r="F10" s="64" t="inlineStr">
        <is>
          <t>part-d simulation.py:204; perm_simulation.py:94; cert_simulation.py:197</t>
        </is>
      </c>
      <c r="G10" s="64" t="inlineStr">
        <is>
          <t>Code review</t>
        </is>
      </c>
      <c r="H10" s="64" t="inlineStr">
        <is>
          <t>Open</t>
        </is>
      </c>
      <c r="I10" s="64" t="inlineStr">
        <is>
          <t>Draw f~ first, or restate §3.6 as conditional on observed f.</t>
        </is>
      </c>
      <c r="J10" s="71" t="n"/>
      <c r="K10" s="64" t="n"/>
    </row>
    <row r="11" ht="15" customHeight="1" s="38">
      <c r="A11" s="64" t="inlineStr">
        <is>
          <t>I-07</t>
        </is>
      </c>
      <c r="B11" s="71" t="inlineStr">
        <is>
          <t>2026-10-21</t>
        </is>
      </c>
      <c r="C11" s="64" t="inlineStr">
        <is>
          <t>C11, C12</t>
        </is>
      </c>
      <c r="D11" s="64" t="inlineStr">
        <is>
          <t>Minor</t>
        </is>
      </c>
      <c r="E11" s="64" t="inlineStr">
        <is>
          <t>Regression df subtracts intercepts twice (negligible at n=990); the &lt;10-errors fallback counts errors in any domain, not the domain being estimated.</t>
        </is>
      </c>
      <c r="F11" s="64" t="inlineStr">
        <is>
          <t>shared/ipsim/regression.py:82,92,110</t>
        </is>
      </c>
      <c r="G11" s="64" t="inlineStr">
        <is>
          <t>Code review</t>
        </is>
      </c>
      <c r="H11" s="64" t="inlineStr">
        <is>
          <t>Open</t>
        </is>
      </c>
      <c r="I11" s="64" t="inlineStr">
        <is>
          <t>df = n − terms; count errors per domain or document the rule as implemented.</t>
        </is>
      </c>
      <c r="J11" s="71" t="n"/>
      <c r="K11" s="64" t="n"/>
    </row>
    <row r="12" ht="15" customHeight="1" s="38">
      <c r="A12" s="64" t="inlineStr">
        <is>
          <t>I-08</t>
        </is>
      </c>
      <c r="B12" s="71" t="inlineStr">
        <is>
          <t>2026-10-21</t>
        </is>
      </c>
      <c r="C12" s="64" t="inlineStr">
        <is>
          <t>C2</t>
        </is>
      </c>
      <c r="D12" s="64" t="inlineStr">
        <is>
          <t>Minor</t>
        </is>
      </c>
      <c r="E12" s="64" t="inlineStr">
        <is>
          <t>README.md:14 describes a "beneficiary sample (108,000 beneficiaries)" (the population) and says the simulation fixes a beneficiary sample; simulation.py docstring says the same. Code: SRS of 990 for ratio/regression; simulation uses the PDE audit only.</t>
        </is>
      </c>
      <c r="F12" s="64" t="inlineStr">
        <is>
          <t>README.md:14; shared/ipsim/simulation.py:27-28</t>
        </is>
      </c>
      <c r="G12" s="64" t="inlineStr">
        <is>
          <t>Code review</t>
        </is>
      </c>
      <c r="H12" s="64" t="inlineStr">
        <is>
          <t>Open</t>
        </is>
      </c>
      <c r="I12" s="64" t="inlineStr">
        <is>
          <t>Correct both.</t>
        </is>
      </c>
      <c r="J12" s="71" t="n"/>
      <c r="K12" s="64" t="n"/>
    </row>
    <row r="13" ht="15" customHeight="1" s="38">
      <c r="A13" s="64" t="inlineStr">
        <is>
          <t>I-09</t>
        </is>
      </c>
      <c r="B13" s="71" t="inlineStr">
        <is>
          <t>2026-10-21</t>
        </is>
      </c>
      <c r="C13" s="64" t="inlineStr">
        <is>
          <t>C30, G4</t>
        </is>
      </c>
      <c r="D13" s="64" t="inlineStr">
        <is>
          <t>Minor</t>
        </is>
      </c>
      <c r="E13" s="64" t="inlineStr">
        <is>
          <t>PERM documentation (README:17, perm.yaml:46 "equal across quarters and strata", perm_01_population.sql header, data_dictionary.md:110) describes equal-dollar strata within state × quarter × type; code builds equal-count quintiles within state × type, no quarter, Neyman. Also README:40 attributes the systematic-as-SRS variance note to CERT.</t>
        </is>
      </c>
      <c r="F13" s="64" t="inlineStr">
        <is>
          <t>perm-cert/README.md:17,40; perm-cert/errors/perm.yaml:46; shared/data_dictionary.md:110</t>
        </is>
      </c>
      <c r="G13" s="64" t="inlineStr">
        <is>
          <t>Code review</t>
        </is>
      </c>
      <c r="H13" s="64" t="inlineStr">
        <is>
          <t>Open</t>
        </is>
      </c>
      <c r="I13" s="64" t="inlineStr">
        <is>
          <t>Align docs with code (design.yaml is written from perm.yaml:design).</t>
        </is>
      </c>
      <c r="J13" s="71" t="n"/>
      <c r="K13" s="64" t="n"/>
    </row>
    <row r="14" ht="15" customHeight="1" s="38">
      <c r="A14" s="64" t="inlineStr">
        <is>
          <t>I-10</t>
        </is>
      </c>
      <c r="B14" s="71" t="inlineStr">
        <is>
          <t>2026-10-21</t>
        </is>
      </c>
      <c r="C14" s="64" t="inlineStr">
        <is>
          <t>C14, C22</t>
        </is>
      </c>
      <c r="D14" s="64" t="inlineStr">
        <is>
          <t>Minor</t>
        </is>
      </c>
      <c r="E14" s="64" t="inlineStr">
        <is>
          <t>Manuscript §3.5 step 2, §3.6 and A.5 step 4 say partial sizes are drawn uniformly from the audited list; the Part C kernel applies the HCC mean audited loss (B.1 says so). §5.3 "two binomial draws per stratum" is 30 draws per iteration in Part C. §3.5 "equivalent to a uniformly drawn donor" does not hold for Part C.</t>
        </is>
      </c>
      <c r="F14" s="64" t="inlineStr">
        <is>
          <t>part-c-ipm/estimation/simulation.py:104,133; manuscript §3.5, §3.6, §5.3, A.5</t>
        </is>
      </c>
      <c r="G14" s="64" t="inlineStr">
        <is>
          <t>Code review</t>
        </is>
      </c>
      <c r="H14" s="64" t="inlineStr">
        <is>
          <t>Open</t>
        </is>
      </c>
      <c r="I14" s="64" t="inlineStr">
        <is>
          <t>Correct the method sections.</t>
        </is>
      </c>
      <c r="J14" s="71" t="n"/>
      <c r="K14" s="64" t="n"/>
    </row>
    <row r="15" ht="15" customHeight="1" s="38">
      <c r="A15" s="64" t="inlineStr">
        <is>
          <t>I-11</t>
        </is>
      </c>
      <c r="B15" s="71" t="inlineStr">
        <is>
          <t>2026-10-21</t>
        </is>
      </c>
      <c r="C15" s="64" t="inlineStr">
        <is>
          <t>D15, C23, C24</t>
        </is>
      </c>
      <c r="D15" s="64" t="inlineStr">
        <is>
          <t>Minor</t>
        </is>
      </c>
      <c r="E15" s="64" t="inlineStr">
        <is>
          <t>Assumptions in code not stated: error independence from payment applies to Part C and Part D (B.6.3); Part D strata/sizes are illustrative (§3.2); all LIS pay $4.90/$12.15; MDP affects plan liability only; brand/specialty independent; direct subsidy constant; PERM whole-year eligibility propagated by the simulation; one FMAP per state; CERT error independent of stratum; underpayments all partial; Part C addition rule, hierarchy-move share, chart-review multiplier, coding intensity, probability cap; EIPM population and income-ratio rules. Full list in review/PEER_REVIEW.md Part 2.4.</t>
        </is>
      </c>
      <c r="F15" s="64" t="inlineStr">
        <is>
          <t>Appendix B</t>
        </is>
      </c>
      <c r="G15" s="64" t="inlineStr">
        <is>
          <t>Code review</t>
        </is>
      </c>
      <c r="H15" s="64" t="inlineStr">
        <is>
          <t>Open</t>
        </is>
      </c>
      <c r="I15" s="64" t="inlineStr">
        <is>
          <t>Add to Appendix B.</t>
        </is>
      </c>
      <c r="J15" s="71" t="n"/>
      <c r="K15" s="64" t="n"/>
    </row>
    <row r="16" ht="15" customHeight="1" s="38">
      <c r="A16" s="64" t="inlineStr">
        <is>
          <t>I-12</t>
        </is>
      </c>
      <c r="B16" s="71" t="inlineStr">
        <is>
          <t>2026-10-21</t>
        </is>
      </c>
      <c r="C16" s="64" t="inlineStr">
        <is>
          <t>F3</t>
        </is>
      </c>
      <c r="D16" s="64" t="inlineStr">
        <is>
          <t>Minor</t>
        </is>
      </c>
      <c r="E16" s="64" t="inlineStr">
        <is>
          <t>References: ED OIG "FY 2025" report is the FY 2024 report (A25DC0225); FY 2025 is A26DC0288 (2026). "Humana v. Becerra, 801 F. Supp. 3d 624" reporter cite unverified. CMS 2025a fact sheet is dated Jan 15, 2026. GAO 2026 needs its number (GAO-26-108694). Orphans: Biddle 1990, Davison &amp; Hinkley 1997, King &amp; Madansky 2013, Rao &amp; Wu 1988, Wolter 2007, CMS 2025d/2026a/2026b/2024. Missing entry for P.L. 119-21. §1.3 cross-reference should be §4.2. Secondary sources (MyChesCo, Milliman, STAT, BPC, conference bio) where primary exist. Several characterizations of Edwards et al. 2023, Kvanli &amp; Schauer, Kolenikov and Liu 2025 over-read (details in review/review_citations.md).</t>
        </is>
      </c>
      <c r="F16" s="64" t="inlineStr">
        <is>
          <t>manuscript References; literature review §3-§6 and References</t>
        </is>
      </c>
      <c r="G16" s="64" t="inlineStr">
        <is>
          <t>Citation verification (web)</t>
        </is>
      </c>
      <c r="H16" s="64" t="inlineStr">
        <is>
          <t>Open</t>
        </is>
      </c>
      <c r="I16" s="64" t="inlineStr">
        <is>
          <t>Apply corrections in review/PEER_REVIEW.md Part 1.3.</t>
        </is>
      </c>
      <c r="J16" s="71" t="n"/>
      <c r="K16" s="64" t="n"/>
    </row>
    <row r="17" ht="15" customHeight="1" s="38">
      <c r="A17" s="64" t="inlineStr">
        <is>
          <t>I-13</t>
        </is>
      </c>
      <c r="B17" s="71" t="inlineStr">
        <is>
          <t>2026-10-21</t>
        </is>
      </c>
      <c r="C17" s="64" t="inlineStr">
        <is>
          <t>G3</t>
        </is>
      </c>
      <c r="D17" s="64" t="inlineStr">
        <is>
          <t>Minor</t>
        </is>
      </c>
      <c r="E17" s="64" t="inlineStr">
        <is>
          <t>A.2 claims byte-identical reruns; numpy, scipy and pyarrow are unpinned while the simulation uses numpy Generator streams and regression uses LAPACK lstsq; manifest.json records only duckdb and python versions; test_determinism covers only EIPM and Part C errors.</t>
        </is>
      </c>
      <c r="F17" s="64" t="inlineStr">
        <is>
          <t>pyproject.toml; requirements.txt; shared/ipsim/engine.py:230-233; shared/tests/test_determinism.py</t>
        </is>
      </c>
      <c r="G17" s="64" t="inlineStr">
        <is>
          <t>Code review</t>
        </is>
      </c>
      <c r="H17" s="64" t="inlineStr">
        <is>
          <t>Open</t>
        </is>
      </c>
      <c r="I17" s="64" t="inlineStr">
        <is>
          <t>Add a lock file; record numpy/scipy/numba/BLAS in manifests; state "within one pinned environment".</t>
        </is>
      </c>
      <c r="J17" s="71" t="n"/>
      <c r="K17" s="64" t="n"/>
    </row>
    <row r="18" ht="15" customHeight="1" s="38">
      <c r="A18" s="64" t="inlineStr">
        <is>
          <t>I-14</t>
        </is>
      </c>
      <c r="B18" s="71" t="inlineStr">
        <is>
          <t>2026-10-21</t>
        </is>
      </c>
      <c r="C18" s="64" t="inlineStr">
        <is>
          <t>D14</t>
        </is>
      </c>
      <c r="D18" s="64" t="inlineStr">
        <is>
          <t>Note</t>
        </is>
      </c>
      <c r="E18" s="64" t="inlineStr">
        <is>
          <t>With 25 audit years (MC SE 4.4 pts) per-program coverage of 23, 24 and 25 are indistinguishable; §4.3 "equal or higher coverage in every program" and the pooled 121 vs 111 read as established orderings; Abstract and Conclusion state "valid and narrower" and "20-38% smaller" without §5.4's hedging.</t>
        </is>
      </c>
      <c r="F18" s="64" t="inlineStr">
        <is>
          <t>manuscript Abstract, §4.3, §5.2, §7</t>
        </is>
      </c>
      <c r="G18" s="64" t="inlineStr">
        <is>
          <t>Review</t>
        </is>
      </c>
      <c r="H18" s="64" t="inlineStr">
        <is>
          <t>Open</t>
        </is>
      </c>
      <c r="I18" s="64" t="inlineStr">
        <is>
          <t>Hedge, and/or increase audit years for the gross rate.</t>
        </is>
      </c>
      <c r="J18" s="71" t="n"/>
      <c r="K18" s="64" t="n"/>
    </row>
    <row r="19" ht="15" customHeight="1" s="38">
      <c r="A19" s="64" t="inlineStr">
        <is>
          <t>I-15</t>
        </is>
      </c>
      <c r="B19" s="71" t="inlineStr">
        <is>
          <t>2026-10-21</t>
        </is>
      </c>
      <c r="C19" s="64" t="inlineStr">
        <is>
          <t>C18</t>
        </is>
      </c>
      <c r="D19" s="64" t="inlineStr">
        <is>
          <t>Minor</t>
        </is>
      </c>
      <c r="E19" s="64" t="inlineStr">
        <is>
          <t>mc_se_coverage uses the observed proportion and reads 0 at 25/25.</t>
        </is>
      </c>
      <c r="F19" s="64" t="inlineStr">
        <is>
          <t>shared/sql/lib/02_estimators.sql:144-145</t>
        </is>
      </c>
      <c r="G19" s="64" t="inlineStr">
        <is>
          <t>Code review</t>
        </is>
      </c>
      <c r="H19" s="64" t="inlineStr">
        <is>
          <t>Open</t>
        </is>
      </c>
      <c r="I19" s="64" t="inlineStr">
        <is>
          <t>Use nominal p or Wilson.</t>
        </is>
      </c>
      <c r="J19" s="71" t="n"/>
      <c r="K19" s="64" t="n"/>
    </row>
    <row r="20" ht="15" customHeight="1" s="38">
      <c r="A20" s="64" t="inlineStr">
        <is>
          <t>I-16</t>
        </is>
      </c>
      <c r="B20" s="71" t="inlineStr">
        <is>
          <t>2026-10-21</t>
        </is>
      </c>
      <c r="C20" s="64" t="inlineStr">
        <is>
          <t>E3, E4</t>
        </is>
      </c>
      <c r="D20" s="64" t="inlineStr">
        <is>
          <t>Note</t>
        </is>
      </c>
      <c r="E20" s="64" t="inlineStr">
        <is>
          <t>Test gaps: no coverage/SE-calibration test on a toy population; no per-domain unbiasedness test for Part C at production audit size; no SE/df test for regression with predictors; no test of ipm_score, report.sql or build_tables.py; Part C and Part D expansions untested; Part C 10_expansion.sql fsd has no single-unit guard; build_tables.py:57 joins parametric estimates to the fixed-run truth.json.</t>
        </is>
      </c>
      <c r="F20" s="64" t="inlineStr">
        <is>
          <t>shared/tests/; manuscripts/scripts/build_tables.py:57; shared/sql/lib/01_stats.sql:60-62</t>
        </is>
      </c>
      <c r="G20" s="64" t="inlineStr">
        <is>
          <t>Code review</t>
        </is>
      </c>
      <c r="H20" s="64" t="inlineStr">
        <is>
          <t>Open</t>
        </is>
      </c>
      <c r="I20" s="64" t="inlineStr">
        <is>
          <t>Add tests; guard fsd; read each run's own truth.</t>
        </is>
      </c>
      <c r="J20" s="71" t="n"/>
      <c r="K20" s="64" t="n"/>
    </row>
    <row r="21" ht="15" customHeight="1" s="38">
      <c r="A21" s="64" t="inlineStr">
        <is>
          <t>I-17</t>
        </is>
      </c>
      <c r="B21" s="71" t="inlineStr">
        <is>
          <t>2026-10-21</t>
        </is>
      </c>
      <c r="C21" s="64" t="inlineStr">
        <is>
          <t>F3, D14</t>
        </is>
      </c>
      <c r="D21" s="64" t="inlineStr">
        <is>
          <t>Minor</t>
        </is>
      </c>
      <c r="E21" s="64" t="inlineStr">
        <is>
          <t>Manuscript Abstract/§1.1 say the law requires a 95% confidence interval (PIIA and M-21-19 set no level; the companion review reports PERM's 90% ±2.5 target). Manuscript §1.2 says the Part D interval "is already simulation based"; the review §5 says public documents do not name the algorithm. Review §8 and ref. G say the manuscript "implements the research agenda" (it implements its first stage).</t>
        </is>
      </c>
      <c r="F21" s="64" t="inlineStr">
        <is>
          <t>manuscript Abstract, §1.1, §1.2; literature review §8, References G</t>
        </is>
      </c>
      <c r="G21" s="64" t="inlineStr">
        <is>
          <t>Citation verification</t>
        </is>
      </c>
      <c r="H21" s="64" t="inlineStr">
        <is>
          <t>Open</t>
        </is>
      </c>
      <c r="I21" s="64" t="inlineStr">
        <is>
          <t>Harmonize both documents.</t>
        </is>
      </c>
      <c r="J21" s="71" t="n"/>
      <c r="K21" s="64" t="n"/>
    </row>
    <row r="22" ht="15" customHeight="1" s="38">
      <c r="A22" s="64" t="inlineStr">
        <is>
          <t>I-18</t>
        </is>
      </c>
      <c r="B22" s="71" t="inlineStr">
        <is>
          <t>2026-10-21</t>
        </is>
      </c>
      <c r="C22" s="64" t="inlineStr">
        <is>
          <t>C30</t>
        </is>
      </c>
      <c r="D22" s="64" t="inlineStr">
        <is>
          <t>Minor</t>
        </is>
      </c>
      <c r="E22" s="64" t="inlineStr">
        <is>
          <t>PERM simulation applies an audited beneficiary's whole-year eligibility status to all of that beneficiary's payments; real PERM determines eligibility as of the sampled payment's month. Audited beneficiaries are selected ∝ number of payments; unbiased only because eligibility error is independent of payment count by construction.</t>
        </is>
      </c>
      <c r="F22" s="64" t="inlineStr">
        <is>
          <t>perm-cert/estimation/perm_simulation.py:80-84,107-108; errors/sql/perm_03_eligibility_errors.sql:4-5</t>
        </is>
      </c>
      <c r="G22" s="64" t="inlineStr">
        <is>
          <t>Code review</t>
        </is>
      </c>
      <c r="H22" s="64" t="inlineStr">
        <is>
          <t>Open</t>
        </is>
      </c>
      <c r="I22" s="64" t="inlineStr">
        <is>
          <t>State in B.3/§3.5, or attach the finding to the sampled payment only.</t>
        </is>
      </c>
      <c r="J22" s="71" t="n"/>
      <c r="K22" s="64" t="n"/>
    </row>
    <row r="23" ht="15" customHeight="1" s="38">
      <c r="A23" s="64" t="inlineStr">
        <is>
          <t>I-19</t>
        </is>
      </c>
      <c r="B23" s="71" t="inlineStr">
        <is>
          <t>2026-10-21</t>
        </is>
      </c>
      <c r="C23" s="64" t="inlineStr">
        <is>
          <t>F4</t>
        </is>
      </c>
      <c r="D23" s="64" t="inlineStr">
        <is>
          <t>Minor</t>
        </is>
      </c>
      <c r="E23" s="64" t="inlineStr">
        <is>
          <t>Affiliation, funding, conflicts of interest and disclaimer are bracketed placeholders; employer/agency clearance not recorded.</t>
        </is>
      </c>
      <c r="F23" s="64" t="inlineStr">
        <is>
          <t>manuscripts/sections/00_front.md, 03_future_conclusion_refs.md</t>
        </is>
      </c>
      <c r="G23" s="64" t="inlineStr">
        <is>
          <t>Review</t>
        </is>
      </c>
      <c r="H23" s="64" t="inlineStr">
        <is>
          <t>Open</t>
        </is>
      </c>
      <c r="I23" s="64" t="inlineStr">
        <is>
          <t>Complete before circulation.</t>
        </is>
      </c>
      <c r="J23" s="71" t="n"/>
      <c r="K23" s="64" t="n"/>
    </row>
    <row r="24" ht="15" customHeight="1" s="38">
      <c r="A24" s="64" t="n"/>
      <c r="B24" s="71" t="n"/>
      <c r="C24" s="64" t="n"/>
      <c r="D24" s="64" t="n"/>
      <c r="E24" s="64" t="n"/>
      <c r="F24" s="64" t="n"/>
      <c r="G24" s="64" t="n"/>
      <c r="H24" s="64" t="n"/>
      <c r="I24" s="64" t="n"/>
      <c r="J24" s="71" t="n"/>
      <c r="K24" s="64" t="n"/>
    </row>
    <row r="25" ht="15" customHeight="1" s="38">
      <c r="A25" s="64" t="n"/>
      <c r="B25" s="71" t="n"/>
      <c r="C25" s="64" t="n"/>
      <c r="D25" s="64" t="n"/>
      <c r="E25" s="64" t="n"/>
      <c r="F25" s="64" t="n"/>
      <c r="G25" s="64" t="n"/>
      <c r="H25" s="64" t="n"/>
      <c r="I25" s="64" t="n"/>
      <c r="J25" s="71" t="n"/>
      <c r="K25" s="64" t="n"/>
    </row>
    <row r="26" ht="15" customHeight="1" s="38">
      <c r="A26" s="64" t="n"/>
      <c r="B26" s="71" t="n"/>
      <c r="C26" s="64" t="n"/>
      <c r="D26" s="64" t="n"/>
      <c r="E26" s="64" t="n"/>
      <c r="F26" s="64" t="n"/>
      <c r="G26" s="64" t="n"/>
      <c r="H26" s="64" t="n"/>
      <c r="I26" s="64" t="n"/>
      <c r="J26" s="71" t="n"/>
      <c r="K26" s="64" t="n"/>
    </row>
    <row r="27" ht="15" customHeight="1" s="38">
      <c r="A27" s="64" t="n"/>
      <c r="B27" s="71" t="n"/>
      <c r="C27" s="64" t="n"/>
      <c r="D27" s="64" t="n"/>
      <c r="E27" s="64" t="n"/>
      <c r="F27" s="64" t="n"/>
      <c r="G27" s="64" t="n"/>
      <c r="H27" s="64" t="n"/>
      <c r="I27" s="64" t="n"/>
      <c r="J27" s="71" t="n"/>
      <c r="K27" s="64" t="n"/>
    </row>
    <row r="28" ht="15" customHeight="1" s="38">
      <c r="A28" s="64" t="n"/>
      <c r="B28" s="71" t="n"/>
      <c r="C28" s="64" t="n"/>
      <c r="D28" s="64" t="n"/>
      <c r="E28" s="64" t="n"/>
      <c r="F28" s="64" t="n"/>
      <c r="G28" s="64" t="n"/>
      <c r="H28" s="64" t="n"/>
      <c r="I28" s="64" t="n"/>
      <c r="J28" s="71" t="n"/>
      <c r="K28" s="64" t="n"/>
    </row>
    <row r="29" ht="15" customHeight="1" s="38">
      <c r="A29" s="64" t="n"/>
      <c r="B29" s="71" t="n"/>
      <c r="C29" s="64" t="n"/>
      <c r="D29" s="64" t="n"/>
      <c r="E29" s="64" t="n"/>
      <c r="F29" s="64" t="n"/>
      <c r="G29" s="64" t="n"/>
      <c r="H29" s="64" t="n"/>
      <c r="I29" s="64" t="n"/>
      <c r="J29" s="71" t="n"/>
      <c r="K29" s="64" t="n"/>
    </row>
    <row r="30" ht="15" customHeight="1" s="38">
      <c r="A30" s="64" t="n"/>
      <c r="B30" s="71" t="n"/>
      <c r="C30" s="64" t="n"/>
      <c r="D30" s="64" t="n"/>
      <c r="E30" s="64" t="n"/>
      <c r="F30" s="64" t="n"/>
      <c r="G30" s="64" t="n"/>
      <c r="H30" s="64" t="n"/>
      <c r="I30" s="64" t="n"/>
      <c r="J30" s="71" t="n"/>
      <c r="K30" s="64" t="n"/>
    </row>
    <row r="31" ht="15" customHeight="1" s="38">
      <c r="A31" s="64" t="n"/>
      <c r="B31" s="71" t="n"/>
      <c r="C31" s="64" t="n"/>
      <c r="D31" s="64" t="n"/>
      <c r="E31" s="64" t="n"/>
      <c r="F31" s="64" t="n"/>
      <c r="G31" s="64" t="n"/>
      <c r="H31" s="64" t="n"/>
      <c r="I31" s="64" t="n"/>
      <c r="J31" s="71" t="n"/>
      <c r="K31" s="64" t="n"/>
    </row>
    <row r="32" ht="15" customHeight="1" s="38">
      <c r="A32" s="64" t="n"/>
      <c r="B32" s="71" t="n"/>
      <c r="C32" s="64" t="n"/>
      <c r="D32" s="64" t="n"/>
      <c r="E32" s="64" t="n"/>
      <c r="F32" s="64" t="n"/>
      <c r="G32" s="64" t="n"/>
      <c r="H32" s="64" t="n"/>
      <c r="I32" s="64" t="n"/>
      <c r="J32" s="71" t="n"/>
      <c r="K32" s="64" t="n"/>
    </row>
    <row r="33" ht="15" customHeight="1" s="38">
      <c r="A33" s="64" t="n"/>
      <c r="B33" s="71" t="n"/>
      <c r="C33" s="64" t="n"/>
      <c r="D33" s="64" t="n"/>
      <c r="E33" s="64" t="n"/>
      <c r="F33" s="64" t="n"/>
      <c r="G33" s="64" t="n"/>
      <c r="H33" s="64" t="n"/>
      <c r="I33" s="64" t="n"/>
      <c r="J33" s="71" t="n"/>
      <c r="K33" s="64" t="n"/>
    </row>
    <row r="34" ht="15" customHeight="1" s="38">
      <c r="A34" s="64" t="n"/>
      <c r="B34" s="71" t="n"/>
      <c r="C34" s="64" t="n"/>
      <c r="D34" s="64" t="n"/>
      <c r="E34" s="64" t="n"/>
      <c r="F34" s="64" t="n"/>
      <c r="G34" s="64" t="n"/>
      <c r="H34" s="64" t="n"/>
      <c r="I34" s="64" t="n"/>
      <c r="J34" s="71" t="n"/>
      <c r="K34" s="64" t="n"/>
    </row>
    <row r="35" ht="15" customHeight="1" s="38">
      <c r="A35" s="64" t="n"/>
      <c r="B35" s="71" t="n"/>
      <c r="C35" s="64" t="n"/>
      <c r="D35" s="64" t="n"/>
      <c r="E35" s="64" t="n"/>
      <c r="F35" s="64" t="n"/>
      <c r="G35" s="64" t="n"/>
      <c r="H35" s="64" t="n"/>
      <c r="I35" s="64" t="n"/>
      <c r="J35" s="71" t="n"/>
      <c r="K35" s="64" t="n"/>
    </row>
    <row r="36" ht="15" customHeight="1" s="38">
      <c r="A36" s="64" t="n"/>
      <c r="B36" s="71" t="n"/>
      <c r="C36" s="64" t="n"/>
      <c r="D36" s="64" t="n"/>
      <c r="E36" s="64" t="n"/>
      <c r="F36" s="64" t="n"/>
      <c r="G36" s="64" t="n"/>
      <c r="H36" s="64" t="n"/>
      <c r="I36" s="64" t="n"/>
      <c r="J36" s="71" t="n"/>
      <c r="K36" s="64" t="n"/>
    </row>
    <row r="37" ht="15" customHeight="1" s="38">
      <c r="A37" s="64" t="n"/>
      <c r="B37" s="71" t="n"/>
      <c r="C37" s="64" t="n"/>
      <c r="D37" s="64" t="n"/>
      <c r="E37" s="64" t="n"/>
      <c r="F37" s="64" t="n"/>
      <c r="G37" s="64" t="n"/>
      <c r="H37" s="64" t="n"/>
      <c r="I37" s="64" t="n"/>
      <c r="J37" s="71" t="n"/>
      <c r="K37" s="64" t="n"/>
    </row>
    <row r="38" ht="15" customHeight="1" s="38">
      <c r="A38" s="64" t="n"/>
      <c r="B38" s="71" t="n"/>
      <c r="C38" s="64" t="n"/>
      <c r="D38" s="64" t="n"/>
      <c r="E38" s="64" t="n"/>
      <c r="F38" s="64" t="n"/>
      <c r="G38" s="64" t="n"/>
      <c r="H38" s="64" t="n"/>
      <c r="I38" s="64" t="n"/>
      <c r="J38" s="71" t="n"/>
      <c r="K38" s="64" t="n"/>
    </row>
    <row r="39" ht="15" customHeight="1" s="38">
      <c r="A39" s="64" t="n"/>
      <c r="B39" s="71" t="n"/>
      <c r="C39" s="64" t="n"/>
      <c r="D39" s="64" t="n"/>
      <c r="E39" s="64" t="n"/>
      <c r="F39" s="64" t="n"/>
      <c r="G39" s="64" t="n"/>
      <c r="H39" s="64" t="n"/>
      <c r="I39" s="64" t="n"/>
      <c r="J39" s="71" t="n"/>
      <c r="K39" s="64" t="n"/>
    </row>
    <row r="41" ht="45" customHeight="1" s="38">
      <c r="A41" s="56" t="inlineStr">
        <is>
          <t>Severity: Critical = a reported result is wrong or cannot be reproduced. Major = an assumption or method differs from its description in a way that could change a result. Minor = documentation or labeling error with no effect on results. Note = suggestion. Status 'Accepted' = left open by agreement, explained in Resolution. Row 5 is an example (a real discrepancy, also listed as Checklist C21). If you confirm it, delete '(EXAMPLE)' from its ID so it is counted; otherwise overwrite the row.</t>
        </is>
      </c>
    </row>
  </sheetData>
  <mergeCells count="1">
    <mergeCell ref="A41:K41"/>
  </mergeCells>
  <dataValidations count="2">
    <dataValidation sqref="D5:D39" showDropDown="0" showInputMessage="0" showErrorMessage="0" allowBlank="1" type="list" errorStyle="stop" operator="between">
      <formula1>"Critical,Major,Minor,Note"</formula1>
      <formula2>0</formula2>
    </dataValidation>
    <dataValidation sqref="H5:H39" showDropDown="0" showInputMessage="0" showErrorMessage="0" allowBlank="1" type="list" errorStyle="stop" operator="between">
      <formula1>"Open,Resolved,Accepted"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2026-10-21T18:36:57Z</dcterms:created>
  <dcterms:modified xmlns:dcterms="http://purl.org/dc/terms/" xmlns:xsi="http://www.w3.org/2001/XMLSchema-instance" xsi:type="dcterms:W3CDTF">2026-10-21T23:08:10Z</dcterms:modified>
  <cp:revision>0</cp:revision>
</cp:coreProperties>
</file>